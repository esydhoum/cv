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omments/comment3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30" windowWidth="22980" windowHeight="9795" tabRatio="600" firstSheet="0" activeTab="0" autoFilterDateGrouping="1"/>
  </bookViews>
  <sheets>
    <sheet name="Задача 1 ПЛР" sheetId="1" state="visible" r:id="rId1"/>
    <sheet name="Задача 2 МЛР" sheetId="2" state="visible" r:id="rId2"/>
    <sheet name="Задача 3 Бин" sheetId="3" state="visible" r:id="rId3"/>
  </sheets>
  <externalReferences>
    <externalReference r:id="rId4"/>
    <externalReference r:id="rId5"/>
  </externalReferences>
  <definedNames>
    <definedName name="aa">#REF!</definedName>
    <definedName name="возврат1">[1]лаб3!$D$26</definedName>
    <definedName name="возврат2">[1]лаб3!$D$26</definedName>
    <definedName name="график">[1]лаб3!$A$155</definedName>
    <definedName name="Пример_Торнквист1">'[2]исх данные'!#REF!</definedName>
    <definedName name="пример1">[1]лаб3!$A$127</definedName>
    <definedName name="пример2">[1]лаб3!$A$127</definedName>
  </definedNames>
  <calcPr calcId="145621" calcMode="auto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_)"/>
    <numFmt numFmtId="166" formatCode="0.0000"/>
  </numFmts>
  <fonts count="25">
    <font>
      <name val="Arial Cyr"/>
      <charset val="204"/>
      <sz val="10"/>
    </font>
    <font>
      <name val="Arial Cyr"/>
      <charset val="204"/>
      <b val="1"/>
      <i val="1"/>
      <sz val="16"/>
    </font>
    <font>
      <name val="Arial Cyr"/>
      <charset val="204"/>
      <b val="1"/>
      <sz val="10"/>
    </font>
    <font>
      <name val="Arial Cyr"/>
      <charset val="204"/>
      <b val="1"/>
      <i val="1"/>
      <sz val="10"/>
    </font>
    <font>
      <name val="Arial Cyr"/>
      <charset val="204"/>
      <b val="1"/>
      <sz val="9"/>
    </font>
    <font>
      <name val="Courier"/>
      <charset val="204"/>
      <family val="3"/>
      <b val="1"/>
      <color indexed="8"/>
      <sz val="10"/>
    </font>
    <font>
      <name val="Arial Cyr"/>
      <charset val="204"/>
      <b val="1"/>
      <color indexed="10"/>
      <sz val="10"/>
    </font>
    <font>
      <name val="Arial Cyr"/>
      <charset val="204"/>
      <family val="2"/>
      <b val="1"/>
      <i val="1"/>
      <sz val="9"/>
    </font>
    <font>
      <name val="Arial Cyr"/>
      <charset val="204"/>
      <family val="2"/>
      <sz val="11"/>
    </font>
    <font>
      <name val="Arial Cyr"/>
      <charset val="204"/>
      <sz val="12"/>
    </font>
    <font>
      <name val="Arial Cyr"/>
      <charset val="204"/>
      <b val="1"/>
      <sz val="12"/>
    </font>
    <font>
      <name val="Tahoma"/>
      <charset val="204"/>
      <family val="2"/>
      <b val="1"/>
      <color indexed="81"/>
      <sz val="8"/>
    </font>
    <font>
      <name val="Tahoma"/>
      <charset val="204"/>
      <family val="2"/>
      <color indexed="81"/>
      <sz val="8"/>
    </font>
    <font>
      <name val="Arial Cyr"/>
      <charset val="204"/>
      <i val="1"/>
      <sz val="11"/>
    </font>
    <font>
      <name val="Arial Cyr"/>
      <charset val="204"/>
      <b val="1"/>
      <i val="1"/>
      <color indexed="10"/>
      <sz val="9"/>
    </font>
    <font>
      <name val="Arial Cyr"/>
      <charset val="204"/>
      <b val="1"/>
      <sz val="10"/>
      <u val="single"/>
    </font>
    <font>
      <name val="Arial Cyr"/>
      <charset val="204"/>
      <b val="1"/>
      <color rgb="FFFF0000"/>
      <sz val="10"/>
    </font>
    <font>
      <name val="Arial"/>
      <b val="1"/>
      <color rgb="00FFFFFF"/>
      <sz val="9"/>
    </font>
    <font>
      <name val="Arial"/>
      <color rgb="001A1A1A"/>
      <sz val="9"/>
    </font>
    <font>
      <name val="Arial"/>
      <b val="1"/>
      <color rgb="00FFFFFF"/>
      <sz val="14"/>
    </font>
    <font>
      <name val="Arial"/>
      <b val="1"/>
      <color rgb="001F4E79"/>
      <sz val="11"/>
    </font>
    <font>
      <name val="Arial"/>
      <b val="1"/>
      <color rgb="001F4E79"/>
      <sz val="10"/>
    </font>
    <font>
      <name val="Arial"/>
      <color rgb="001A1A1A"/>
      <sz val="10"/>
    </font>
    <font>
      <name val="Arial"/>
      <b val="1"/>
      <color rgb="001F4E79"/>
      <sz val="12"/>
    </font>
    <font>
      <name val="Arial"/>
      <b val="1"/>
      <sz val="10"/>
    </font>
  </fonts>
  <fills count="1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1F4E79"/>
      </patternFill>
    </fill>
    <fill>
      <patternFill patternType="solid">
        <fgColor rgb="00D6DCE4"/>
      </patternFill>
    </fill>
    <fill>
      <patternFill patternType="solid">
        <fgColor rgb="00DEEBF7"/>
      </patternFill>
    </fill>
    <fill>
      <patternFill patternType="solid">
        <fgColor rgb="00FFF8E7"/>
      </patternFill>
    </fill>
    <fill>
      <patternFill patternType="solid">
        <fgColor rgb="00FFF2CC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2">
    <xf numFmtId="0" fontId="0" fillId="0" borderId="0" pivotButton="0" quotePrefix="0" xfId="0"/>
    <xf numFmtId="0" fontId="1" fillId="0" borderId="0" pivotButton="0" quotePrefix="0" xfId="0"/>
    <xf numFmtId="1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justify"/>
    </xf>
    <xf numFmtId="0" fontId="3" fillId="2" borderId="2" applyAlignment="1" pivotButton="0" quotePrefix="0" xfId="0">
      <alignment horizontal="center" vertical="justify"/>
    </xf>
    <xf numFmtId="0" fontId="3" fillId="3" borderId="3" applyAlignment="1" pivotButton="0" quotePrefix="0" xfId="0">
      <alignment horizontal="center"/>
    </xf>
    <xf numFmtId="0" fontId="3" fillId="3" borderId="4" applyAlignment="1" pivotButton="0" quotePrefix="0" xfId="0">
      <alignment horizontal="center"/>
    </xf>
    <xf numFmtId="0" fontId="3" fillId="3" borderId="5" applyAlignment="1" pivotButton="0" quotePrefix="0" xfId="0">
      <alignment horizontal="center"/>
    </xf>
    <xf numFmtId="0" fontId="3" fillId="3" borderId="6" applyAlignment="1" pivotButton="0" quotePrefix="0" xfId="0">
      <alignment horizontal="center"/>
    </xf>
    <xf numFmtId="1" fontId="1" fillId="0" borderId="0" applyAlignment="1" pivotButton="0" quotePrefix="0" xfId="0">
      <alignment horizontal="left"/>
    </xf>
    <xf numFmtId="0" fontId="3" fillId="4" borderId="1" applyAlignment="1" pivotButton="0" quotePrefix="0" xfId="0">
      <alignment horizontal="center" vertical="justify"/>
    </xf>
    <xf numFmtId="0" fontId="3" fillId="4" borderId="7" applyAlignment="1" pivotButton="0" quotePrefix="0" xfId="0">
      <alignment horizontal="center" vertical="justify"/>
    </xf>
    <xf numFmtId="0" fontId="3" fillId="4" borderId="1" applyAlignment="1" pivotButton="0" quotePrefix="0" xfId="0">
      <alignment horizontal="center" vertical="center"/>
    </xf>
    <xf numFmtId="0" fontId="3" fillId="4" borderId="7" applyAlignment="1" pivotButton="0" quotePrefix="0" xfId="0">
      <alignment horizontal="center" vertical="center"/>
    </xf>
    <xf numFmtId="0" fontId="3" fillId="5" borderId="5" applyAlignment="1" pivotButton="0" quotePrefix="0" xfId="0">
      <alignment horizontal="center"/>
    </xf>
    <xf numFmtId="2" fontId="3" fillId="5" borderId="8" applyAlignment="1" pivotButton="0" quotePrefix="0" xfId="0">
      <alignment horizontal="center"/>
    </xf>
    <xf numFmtId="1" fontId="3" fillId="5" borderId="5" applyAlignment="1" pivotButton="0" quotePrefix="0" xfId="0">
      <alignment horizontal="center"/>
    </xf>
    <xf numFmtId="0" fontId="3" fillId="5" borderId="4" applyAlignment="1" pivotButton="0" quotePrefix="0" xfId="0">
      <alignment horizontal="center"/>
    </xf>
    <xf numFmtId="2" fontId="3" fillId="5" borderId="9" applyAlignment="1" pivotButton="0" quotePrefix="0" xfId="0">
      <alignment horizontal="center"/>
    </xf>
    <xf numFmtId="1" fontId="3" fillId="5" borderId="4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6" fillId="0" borderId="0" pivotButton="0" quotePrefix="0" xfId="0"/>
    <xf numFmtId="0" fontId="2" fillId="0" borderId="11" pivotButton="0" quotePrefix="0" xfId="0"/>
    <xf numFmtId="0" fontId="0" fillId="0" borderId="11" pivotButton="0" quotePrefix="0" xfId="0"/>
    <xf numFmtId="9" fontId="7" fillId="2" borderId="12" applyAlignment="1" pivotButton="0" quotePrefix="0" xfId="0">
      <alignment horizontal="center" vertical="distributed"/>
    </xf>
    <xf numFmtId="9" fontId="7" fillId="2" borderId="13" applyAlignment="1" pivotButton="0" quotePrefix="0" xfId="0">
      <alignment horizontal="center" vertical="distributed"/>
    </xf>
    <xf numFmtId="9" fontId="7" fillId="2" borderId="14" applyAlignment="1" pivotButton="0" quotePrefix="0" xfId="0">
      <alignment horizontal="center" vertical="distributed"/>
    </xf>
    <xf numFmtId="9" fontId="7" fillId="2" borderId="3" applyAlignment="1" pivotButton="0" quotePrefix="0" xfId="0">
      <alignment horizontal="center" vertical="distributed"/>
    </xf>
    <xf numFmtId="164" fontId="8" fillId="6" borderId="15" applyAlignment="1" pivotButton="0" quotePrefix="0" xfId="0">
      <alignment horizontal="center" vertical="distributed"/>
    </xf>
    <xf numFmtId="164" fontId="8" fillId="6" borderId="16" applyAlignment="1" pivotButton="0" quotePrefix="0" xfId="0">
      <alignment horizontal="center" vertical="distributed"/>
    </xf>
    <xf numFmtId="9" fontId="7" fillId="2" borderId="4" applyAlignment="1" pivotButton="0" quotePrefix="0" xfId="0">
      <alignment horizontal="center" vertical="distributed"/>
    </xf>
    <xf numFmtId="164" fontId="8" fillId="6" borderId="18" applyAlignment="1" pivotButton="0" quotePrefix="0" xfId="0">
      <alignment horizontal="center" vertical="distributed"/>
    </xf>
    <xf numFmtId="164" fontId="8" fillId="6" borderId="19" applyAlignment="1" pivotButton="0" quotePrefix="0" xfId="0">
      <alignment horizontal="center" vertical="distributed"/>
    </xf>
    <xf numFmtId="9" fontId="7" fillId="0" borderId="0" applyAlignment="1" pivotButton="0" quotePrefix="0" xfId="0">
      <alignment horizontal="center" vertical="distributed"/>
    </xf>
    <xf numFmtId="9" fontId="7" fillId="2" borderId="20" applyAlignment="1" pivotButton="0" quotePrefix="0" xfId="0">
      <alignment horizontal="center" vertical="distributed"/>
    </xf>
    <xf numFmtId="164" fontId="8" fillId="6" borderId="21" applyAlignment="1" pivotButton="0" quotePrefix="0" xfId="0">
      <alignment horizontal="center" vertical="distributed"/>
    </xf>
    <xf numFmtId="9" fontId="7" fillId="2" borderId="5" applyAlignment="1" pivotButton="0" quotePrefix="0" xfId="0">
      <alignment horizontal="center" vertical="distributed"/>
    </xf>
    <xf numFmtId="164" fontId="8" fillId="6" borderId="22" applyAlignment="1" pivotButton="0" quotePrefix="0" xfId="0">
      <alignment horizontal="center" vertical="distributed"/>
    </xf>
    <xf numFmtId="164" fontId="8" fillId="6" borderId="23" applyAlignment="1" pivotButton="0" quotePrefix="0" xfId="0">
      <alignment horizontal="center" vertical="distributed"/>
    </xf>
    <xf numFmtId="2" fontId="8" fillId="6" borderId="24" applyAlignment="1" pivotButton="0" quotePrefix="0" xfId="0">
      <alignment horizontal="center" vertical="distributed"/>
    </xf>
    <xf numFmtId="0" fontId="2" fillId="0" borderId="0" pivotButton="0" quotePrefix="0" xfId="0"/>
    <xf numFmtId="0" fontId="0" fillId="0" borderId="0" pivotButton="0" quotePrefix="0" xfId="0"/>
    <xf numFmtId="0" fontId="9" fillId="0" borderId="0" pivotButton="0" quotePrefix="0" xfId="0"/>
    <xf numFmtId="0" fontId="3" fillId="0" borderId="0" pivotButton="0" quotePrefix="0" xfId="0"/>
    <xf numFmtId="0" fontId="5" fillId="0" borderId="0" applyAlignment="1" applyProtection="1" pivotButton="0" quotePrefix="0" xfId="0">
      <alignment horizontal="centerContinuous"/>
      <protection locked="0" hidden="0"/>
    </xf>
    <xf numFmtId="1" fontId="5" fillId="0" borderId="0" applyAlignment="1" applyProtection="1" pivotButton="0" quotePrefix="0" xfId="0">
      <alignment horizontal="centerContinuous"/>
      <protection locked="0" hidden="0"/>
    </xf>
    <xf numFmtId="165" fontId="5" fillId="0" borderId="0" applyAlignment="1" applyProtection="1" pivotButton="0" quotePrefix="0" xfId="0">
      <alignment horizontal="centerContinuous"/>
      <protection locked="0" hidden="0"/>
    </xf>
    <xf numFmtId="165" fontId="4" fillId="0" borderId="0" applyAlignment="1" pivotButton="0" quotePrefix="0" xfId="0">
      <alignment horizontal="center"/>
    </xf>
    <xf numFmtId="0" fontId="0" fillId="0" borderId="0" pivotButton="0" quotePrefix="0" xfId="0"/>
    <xf numFmtId="0" fontId="3" fillId="2" borderId="27" applyAlignment="1" pivotButton="0" quotePrefix="0" xfId="0">
      <alignment horizontal="center" vertical="justify"/>
    </xf>
    <xf numFmtId="0" fontId="3" fillId="3" borderId="28" applyAlignment="1" pivotButton="0" quotePrefix="0" xfId="0">
      <alignment horizontal="center"/>
    </xf>
    <xf numFmtId="0" fontId="3" fillId="3" borderId="22" applyAlignment="1" pivotButton="0" quotePrefix="0" xfId="0">
      <alignment horizontal="center"/>
    </xf>
    <xf numFmtId="0" fontId="3" fillId="3" borderId="26" applyAlignment="1" pivotButton="0" quotePrefix="0" xfId="0">
      <alignment horizontal="center"/>
    </xf>
    <xf numFmtId="0" fontId="3" fillId="3" borderId="29" applyAlignment="1" pivotButton="0" quotePrefix="0" xfId="0">
      <alignment horizontal="center"/>
    </xf>
    <xf numFmtId="0" fontId="3" fillId="3" borderId="20" applyAlignment="1" pivotButton="0" quotePrefix="0" xfId="0">
      <alignment horizontal="center"/>
    </xf>
    <xf numFmtId="0" fontId="16" fillId="0" borderId="0" pivotButton="0" quotePrefix="0" xfId="0"/>
    <xf numFmtId="9" fontId="7" fillId="0" borderId="0" applyAlignment="1" pivotButton="0" quotePrefix="0" xfId="0">
      <alignment horizontal="center" vertical="distributed"/>
    </xf>
    <xf numFmtId="9" fontId="7" fillId="5" borderId="17" applyAlignment="1" pivotButton="0" quotePrefix="0" xfId="0">
      <alignment horizontal="center" vertical="distributed"/>
    </xf>
    <xf numFmtId="9" fontId="7" fillId="5" borderId="0" applyAlignment="1" pivotButton="0" quotePrefix="0" xfId="0">
      <alignment horizontal="center" vertical="distributed"/>
    </xf>
    <xf numFmtId="9" fontId="7" fillId="0" borderId="0" applyAlignment="1" pivotButton="0" quotePrefix="0" xfId="0">
      <alignment horizontal="left" vertical="distributed"/>
    </xf>
    <xf numFmtId="2" fontId="13" fillId="6" borderId="26" applyAlignment="1" pivotButton="0" quotePrefix="0" xfId="0">
      <alignment horizontal="center" vertical="distributed"/>
    </xf>
    <xf numFmtId="2" fontId="13" fillId="6" borderId="23" applyAlignment="1" pivotButton="0" quotePrefix="0" xfId="0">
      <alignment horizontal="center" vertical="distributed"/>
    </xf>
    <xf numFmtId="2" fontId="13" fillId="6" borderId="9" applyAlignment="1" pivotButton="0" quotePrefix="0" xfId="0">
      <alignment horizontal="center" vertical="distributed"/>
    </xf>
    <xf numFmtId="0" fontId="3" fillId="2" borderId="10" applyAlignment="1" pivotButton="0" quotePrefix="0" xfId="0">
      <alignment horizontal="center"/>
    </xf>
    <xf numFmtId="0" fontId="0" fillId="6" borderId="10" applyAlignment="1" pivotButton="0" quotePrefix="0" xfId="0">
      <alignment horizontal="center"/>
    </xf>
    <xf numFmtId="0" fontId="3" fillId="2" borderId="25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9" fontId="7" fillId="2" borderId="0" applyAlignment="1" pivotButton="0" quotePrefix="0" xfId="0">
      <alignment horizontal="center" vertical="distributed"/>
    </xf>
    <xf numFmtId="164" fontId="8" fillId="6" borderId="30" applyAlignment="1" pivotButton="0" quotePrefix="0" xfId="0">
      <alignment horizontal="center" vertical="distributed"/>
    </xf>
    <xf numFmtId="0" fontId="19" fillId="9" borderId="0" applyAlignment="1" pivotButton="0" quotePrefix="0" xfId="0">
      <alignment horizontal="left" vertical="center" wrapText="1"/>
    </xf>
    <xf numFmtId="0" fontId="18" fillId="10" borderId="0" applyAlignment="1" pivotButton="0" quotePrefix="0" xfId="0">
      <alignment horizontal="left" vertical="center" wrapText="1"/>
    </xf>
    <xf numFmtId="0" fontId="20" fillId="10" borderId="33" applyAlignment="1" pivotButton="0" quotePrefix="0" xfId="0">
      <alignment horizontal="left" vertical="center" wrapText="1"/>
    </xf>
    <xf numFmtId="0" fontId="0" fillId="0" borderId="36" pivotButton="0" quotePrefix="0" xfId="0"/>
    <xf numFmtId="0" fontId="21" fillId="11" borderId="33" applyAlignment="1" pivotButton="0" quotePrefix="0" xfId="0">
      <alignment horizontal="left" vertical="center" wrapText="1"/>
    </xf>
    <xf numFmtId="166" fontId="22" fillId="8" borderId="33" applyAlignment="1" pivotButton="0" quotePrefix="0" xfId="0">
      <alignment horizontal="center" vertical="center" wrapText="1"/>
    </xf>
    <xf numFmtId="1" fontId="22" fillId="8" borderId="33" applyAlignment="1" pivotButton="0" quotePrefix="0" xfId="0">
      <alignment horizontal="center" vertical="center" wrapText="1"/>
    </xf>
    <xf numFmtId="0" fontId="0" fillId="0" borderId="37" pivotButton="0" quotePrefix="0" xfId="0"/>
    <xf numFmtId="0" fontId="17" fillId="7" borderId="33" applyAlignment="1" pivotButton="0" quotePrefix="0" xfId="0">
      <alignment horizontal="center" vertical="center" wrapText="1"/>
    </xf>
    <xf numFmtId="2" fontId="18" fillId="8" borderId="33" applyAlignment="1" pivotButton="0" quotePrefix="0" xfId="0">
      <alignment horizontal="center" vertical="center" wrapText="1"/>
    </xf>
    <xf numFmtId="164" fontId="18" fillId="8" borderId="33" applyAlignment="1" pivotButton="0" quotePrefix="0" xfId="0">
      <alignment horizontal="center" vertical="center" wrapText="1"/>
    </xf>
    <xf numFmtId="0" fontId="18" fillId="8" borderId="33" applyAlignment="1" pivotButton="0" quotePrefix="0" xfId="0">
      <alignment horizontal="center" vertical="center" wrapText="1"/>
    </xf>
    <xf numFmtId="4" fontId="22" fillId="8" borderId="33" applyAlignment="1" pivotButton="0" quotePrefix="0" xfId="0">
      <alignment horizontal="center" vertical="center" wrapText="1"/>
    </xf>
    <xf numFmtId="2" fontId="22" fillId="8" borderId="33" applyAlignment="1" pivotButton="0" quotePrefix="0" xfId="0">
      <alignment horizontal="center" vertical="center" wrapText="1"/>
    </xf>
    <xf numFmtId="11" fontId="22" fillId="8" borderId="33" applyAlignment="1" pivotButton="0" quotePrefix="0" xfId="0">
      <alignment horizontal="center" vertical="center" wrapText="1"/>
    </xf>
    <xf numFmtId="0" fontId="18" fillId="12" borderId="33" applyAlignment="1" pivotButton="0" quotePrefix="0" xfId="0">
      <alignment horizontal="left" vertical="center" wrapText="1"/>
    </xf>
    <xf numFmtId="1" fontId="18" fillId="0" borderId="33" applyAlignment="1" pivotButton="0" quotePrefix="0" xfId="0">
      <alignment horizontal="center" vertical="center" wrapText="1"/>
    </xf>
    <xf numFmtId="2" fontId="18" fillId="0" borderId="33" applyAlignment="1" pivotButton="0" quotePrefix="0" xfId="0">
      <alignment horizontal="center" vertical="center" wrapText="1"/>
    </xf>
    <xf numFmtId="164" fontId="18" fillId="0" borderId="33" applyAlignment="1" pivotButton="0" quotePrefix="0" xfId="0">
      <alignment horizontal="center" vertical="center" wrapText="1"/>
    </xf>
    <xf numFmtId="0" fontId="18" fillId="0" borderId="33" applyAlignment="1" pivotButton="0" quotePrefix="0" xfId="0">
      <alignment horizontal="center" vertical="center" wrapText="1"/>
    </xf>
    <xf numFmtId="2" fontId="8" fillId="6" borderId="15" applyAlignment="1" pivotButton="0" quotePrefix="0" xfId="0">
      <alignment horizontal="center" vertical="center" wrapText="1"/>
    </xf>
    <xf numFmtId="2" fontId="8" fillId="6" borderId="16" applyAlignment="1" pivotButton="0" quotePrefix="0" xfId="0">
      <alignment horizontal="center" vertical="center" wrapText="1"/>
    </xf>
    <xf numFmtId="2" fontId="23" fillId="13" borderId="33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23" pivotButton="0" quotePrefix="0" xfId="0"/>
    <xf numFmtId="9" fontId="22" fillId="12" borderId="33" applyAlignment="1" pivotButton="0" quotePrefix="0" xfId="0">
      <alignment horizontal="left" vertical="center" wrapText="1"/>
    </xf>
    <xf numFmtId="2" fontId="8" fillId="6" borderId="18" applyAlignment="1" pivotButton="0" quotePrefix="0" xfId="0">
      <alignment horizontal="center" vertical="center" wrapText="1"/>
    </xf>
    <xf numFmtId="2" fontId="8" fillId="6" borderId="19" applyAlignment="1" pivotButton="0" quotePrefix="0" xfId="0">
      <alignment horizontal="center" vertical="center" wrapText="1"/>
    </xf>
    <xf numFmtId="11" fontId="8" fillId="6" borderId="18" applyAlignment="1" pivotButton="0" quotePrefix="0" xfId="0">
      <alignment horizontal="center" vertical="center" wrapText="1"/>
    </xf>
    <xf numFmtId="11" fontId="8" fillId="6" borderId="19" applyAlignment="1" pivotButton="0" quotePrefix="0" xfId="0">
      <alignment horizontal="center" vertical="center" wrapText="1"/>
    </xf>
    <xf numFmtId="49" fontId="8" fillId="6" borderId="18" applyAlignment="1" pivotButton="0" quotePrefix="0" xfId="0">
      <alignment horizontal="center" vertical="center" wrapText="1"/>
    </xf>
    <xf numFmtId="49" fontId="8" fillId="6" borderId="19" applyAlignment="1" pivotButton="0" quotePrefix="0" xfId="0">
      <alignment horizontal="center" vertical="center" wrapText="1"/>
    </xf>
    <xf numFmtId="0" fontId="22" fillId="12" borderId="33" applyAlignment="1" pivotButton="0" quotePrefix="0" xfId="0">
      <alignment horizontal="left" vertical="center" wrapText="1"/>
    </xf>
    <xf numFmtId="166" fontId="8" fillId="6" borderId="21" applyAlignment="1" pivotButton="0" quotePrefix="0" xfId="0">
      <alignment horizontal="center" vertical="center" wrapText="1"/>
    </xf>
    <xf numFmtId="49" fontId="8" fillId="6" borderId="22" applyAlignment="1" pivotButton="0" quotePrefix="0" xfId="0">
      <alignment horizontal="center" vertical="center" wrapText="1"/>
    </xf>
    <xf numFmtId="11" fontId="8" fillId="6" borderId="23" applyAlignment="1" pivotButton="0" quotePrefix="0" xfId="0">
      <alignment horizontal="center" vertical="center" wrapText="1"/>
    </xf>
    <xf numFmtId="49" fontId="8" fillId="6" borderId="24" applyAlignment="1" pivotButton="0" quotePrefix="0" xfId="0">
      <alignment horizontal="center" vertical="center" wrapText="1"/>
    </xf>
    <xf numFmtId="1" fontId="8" fillId="6" borderId="23" applyAlignment="1" pivotButton="0" quotePrefix="0" xfId="0">
      <alignment horizontal="center" vertical="center" wrapText="1"/>
    </xf>
    <xf numFmtId="1" fontId="18" fillId="11" borderId="33" applyAlignment="1" pivotButton="0" quotePrefix="0" xfId="0">
      <alignment horizontal="center" vertical="center" wrapText="1"/>
    </xf>
    <xf numFmtId="165" fontId="5" fillId="0" borderId="0" applyAlignment="1" applyProtection="1" pivotButton="0" quotePrefix="0" xfId="0">
      <alignment horizontal="centerContinuous"/>
      <protection locked="0" hidden="0"/>
    </xf>
    <xf numFmtId="165" fontId="4" fillId="0" borderId="0" applyAlignment="1" pivotButton="0" quotePrefix="0" xfId="0">
      <alignment horizontal="center"/>
    </xf>
    <xf numFmtId="11" fontId="8" fillId="6" borderId="15" applyAlignment="1" pivotButton="0" quotePrefix="0" xfId="0">
      <alignment horizontal="center" vertical="center" wrapText="1"/>
    </xf>
    <xf numFmtId="11" fontId="8" fillId="6" borderId="16" applyAlignment="1" pivotButton="0" quotePrefix="0" xfId="0">
      <alignment horizontal="center" vertical="center" wrapText="1"/>
    </xf>
    <xf numFmtId="1" fontId="24" fillId="3" borderId="3" applyAlignment="1" pivotButton="0" quotePrefix="0" xfId="0">
      <alignment horizontal="center" vertical="center" wrapText="1"/>
    </xf>
    <xf numFmtId="1" fontId="24" fillId="3" borderId="4" applyAlignment="1" pivotButton="0" quotePrefix="0" xfId="0">
      <alignment horizontal="center" vertical="center" wrapText="1"/>
    </xf>
    <xf numFmtId="1" fontId="24" fillId="3" borderId="5" applyAlignment="1" pivotButton="0" quotePrefix="0" xfId="0">
      <alignment horizontal="center" vertical="center" wrapText="1"/>
    </xf>
    <xf numFmtId="1" fontId="24" fillId="3" borderId="6" applyAlignment="1" pivotButton="0" quotePrefix="0" xfId="0">
      <alignment horizontal="center" vertical="center" wrapText="1"/>
    </xf>
    <xf numFmtId="164" fontId="20" fillId="13" borderId="33" applyAlignment="1" pivotButton="0" quotePrefix="0" xfId="0">
      <alignment horizontal="left" vertical="center" wrapText="1"/>
    </xf>
    <xf numFmtId="0" fontId="0" fillId="0" borderId="30" pivotButton="0" quotePrefix="0" xfId="0"/>
    <xf numFmtId="166" fontId="8" fillId="6" borderId="16" applyAlignment="1" pivotButton="0" quotePrefix="0" xfId="0">
      <alignment horizontal="center" vertical="center" wrapText="1"/>
    </xf>
    <xf numFmtId="9" fontId="7" fillId="2" borderId="20" applyAlignment="1" pivotButton="0" quotePrefix="0" xfId="0">
      <alignment horizontal="left" vertical="center" wrapText="1"/>
    </xf>
    <xf numFmtId="0" fontId="0" fillId="0" borderId="18" pivotButton="0" quotePrefix="0" xfId="0"/>
  </cellXfs>
  <cellStyles count="1">
    <cellStyle name="Обычный" xfId="0" builtinId="0"/>
  </cellStyles>
  <dxfs count="1">
    <dxf>
      <fill>
        <patternFill patternType="solid">
          <fgColor rgb="00F5B7B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externalLink" Target="/xl/externalLinks/externalLink2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Сравнение фактических и теоретических объёмов продаж</a:t>
            </a:r>
          </a:p>
        </rich>
      </tx>
    </title>
    <plotArea>
      <lineChart>
        <grouping val="standard"/>
        <ser>
          <idx val="0"/>
          <order val="0"/>
          <tx>
            <v>Y факт</v>
          </tx>
          <spPr>
            <a:ln w="18000">
              <a:solidFill>
                <a:srgbClr val="1F4E79"/>
              </a:solidFill>
              <a:prstDash val="solid"/>
            </a:ln>
          </spPr>
          <marker>
            <symbol val="circle"/>
            <size val="6"/>
            <spPr>
              <a:solidFill>
                <a:srgbClr val="1F4E79"/>
              </a:solidFill>
              <a:ln>
                <a:solidFill>
                  <a:srgbClr val="1F4E79"/>
                </a:solidFill>
                <a:prstDash val="solid"/>
              </a:ln>
            </spPr>
          </marker>
          <cat>
            <numRef>
              <f>'Задача 1 ПЛР'!$A$12:$A$35</f>
            </numRef>
          </cat>
          <val>
            <numRef>
              <f>'Задача 1 ПЛР'!$C$12:$C$35</f>
            </numRef>
          </val>
          <smooth val="0"/>
        </ser>
        <ser>
          <idx val="1"/>
          <order val="1"/>
          <tx>
            <v>Y теор</v>
          </tx>
          <spPr>
            <a:ln w="18000">
              <a:solidFill>
                <a:srgbClr val="C65911"/>
              </a:solidFill>
              <a:prstDash val="dash"/>
            </a:ln>
          </spPr>
          <marker>
            <symbol val="circle"/>
            <size val="6"/>
            <spPr>
              <a:solidFill>
                <a:srgbClr val="C65911"/>
              </a:solidFill>
              <a:ln>
                <a:solidFill>
                  <a:srgbClr val="C65911"/>
                </a:solidFill>
                <a:prstDash val="solid"/>
              </a:ln>
            </spPr>
          </marker>
          <cat>
            <numRef>
              <f>'Задача 1 ПЛР'!$A$12:$A$35</f>
            </numRef>
          </cat>
          <val>
            <numRef>
              <f>'Задача 1 ПЛР'!$D$12:$D$35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Номер недели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Количество, шт.</a:t>
                </a:r>
              </a:p>
            </rich>
          </tx>
        </title>
        <majorTickMark val="none"/>
        <minorTickMark val="none"/>
        <crossAx val="10"/>
        <crosses val="min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Сравнение фактической и теоретической цены автомобиля</a:t>
            </a:r>
          </a:p>
        </rich>
      </tx>
    </title>
    <plotArea>
      <lineChart>
        <grouping val="standard"/>
        <ser>
          <idx val="0"/>
          <order val="0"/>
          <tx>
            <v>Y факт</v>
          </tx>
          <spPr>
            <a:ln w="18000">
              <a:solidFill>
                <a:srgbClr val="1F4E79"/>
              </a:solidFill>
              <a:prstDash val="solid"/>
            </a:ln>
          </spPr>
          <marker>
            <symbol val="circle"/>
            <size val="6"/>
            <spPr>
              <a:solidFill>
                <a:srgbClr val="1F4E79"/>
              </a:solidFill>
              <a:ln>
                <a:solidFill>
                  <a:srgbClr val="1F4E79"/>
                </a:solidFill>
                <a:prstDash val="solid"/>
              </a:ln>
            </spPr>
          </marker>
          <cat>
            <numRef>
              <f>'Задача 2 МЛР'!$H$18:$H$61</f>
            </numRef>
          </cat>
          <val>
            <numRef>
              <f>'Задача 2 МЛР'!$A$18:$A$61</f>
            </numRef>
          </val>
          <smooth val="0"/>
        </ser>
        <ser>
          <idx val="1"/>
          <order val="1"/>
          <tx>
            <v>Y теор</v>
          </tx>
          <spPr>
            <a:ln w="18000">
              <a:solidFill>
                <a:srgbClr val="C65911"/>
              </a:solidFill>
              <a:prstDash val="dash"/>
            </a:ln>
          </spPr>
          <marker>
            <symbol val="circle"/>
            <size val="6"/>
            <spPr>
              <a:solidFill>
                <a:srgbClr val="C65911"/>
              </a:solidFill>
              <a:ln>
                <a:solidFill>
                  <a:srgbClr val="C65911"/>
                </a:solidFill>
                <a:prstDash val="solid"/>
              </a:ln>
            </spPr>
          </marker>
          <cat>
            <numRef>
              <f>'Задача 2 МЛР'!$H$18:$H$61</f>
            </numRef>
          </cat>
          <val>
            <numRef>
              <f>'Задача 2 МЛР'!$D$18:$D$61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Номер наблюдения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Цена, у.е.</a:t>
                </a:r>
              </a:p>
            </rich>
          </tx>
        </title>
        <majorTickMark val="none"/>
        <minorTickMark val="none"/>
        <crossAx val="10"/>
        <crosses val="min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Сравнение фактического и теоретического пробега на 10 л</a:t>
            </a:r>
          </a:p>
        </rich>
      </tx>
    </title>
    <plotArea>
      <lineChart>
        <grouping val="standard"/>
        <ser>
          <idx val="0"/>
          <order val="0"/>
          <tx>
            <v>Y факт</v>
          </tx>
          <spPr>
            <a:ln w="18000">
              <a:solidFill>
                <a:srgbClr val="1F4E79"/>
              </a:solidFill>
              <a:prstDash val="solid"/>
            </a:ln>
          </spPr>
          <marker>
            <symbol val="circle"/>
            <size val="6"/>
            <spPr>
              <a:solidFill>
                <a:srgbClr val="1F4E79"/>
              </a:solidFill>
              <a:ln>
                <a:solidFill>
                  <a:srgbClr val="1F4E79"/>
                </a:solidFill>
                <a:prstDash val="solid"/>
              </a:ln>
            </spPr>
          </marker>
          <cat>
            <numRef>
              <f>'Задача 3 Бин'!$E$22:$E$58</f>
            </numRef>
          </cat>
          <val>
            <numRef>
              <f>'Задача 3 Бин'!$F$22:$F$58</f>
            </numRef>
          </val>
          <smooth val="0"/>
        </ser>
        <ser>
          <idx val="1"/>
          <order val="1"/>
          <tx>
            <v>Y теор</v>
          </tx>
          <spPr>
            <a:ln w="18000">
              <a:solidFill>
                <a:srgbClr val="C65911"/>
              </a:solidFill>
              <a:prstDash val="dash"/>
            </a:ln>
          </spPr>
          <marker>
            <symbol val="circle"/>
            <size val="6"/>
            <spPr>
              <a:solidFill>
                <a:srgbClr val="C65911"/>
              </a:solidFill>
              <a:ln>
                <a:solidFill>
                  <a:srgbClr val="C65911"/>
                </a:solidFill>
                <a:prstDash val="solid"/>
              </a:ln>
            </spPr>
          </marker>
          <cat>
            <numRef>
              <f>'Задача 3 Бин'!$E$22:$E$58</f>
            </numRef>
          </cat>
          <val>
            <numRef>
              <f>'Задача 3 Бин'!$I$22:$I$58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Номер наблюдения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Пробег, км</a:t>
                </a:r>
              </a:p>
            </rich>
          </tx>
        </title>
        <majorTickMark val="none"/>
        <minorTickMark val="none"/>
        <crossAx val="10"/>
        <crosses val="min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rev</author>
  </authors>
  <commentList>
    <comment ref="A53" authorId="0" shapeId="0">
      <text>
        <t xml:space="preserve">При уровне значимости 95%
</t>
      </text>
    </comment>
    <comment ref="A54" authorId="0" shapeId="0">
      <text>
        <t>При уровне значимости 95%</t>
      </text>
    </comment>
  </commentList>
</comments>
</file>

<file path=xl/comments/comment2.xml><?xml version="1.0" encoding="utf-8"?>
<comments xmlns="http://schemas.openxmlformats.org/spreadsheetml/2006/main">
  <authors>
    <author>rev</author>
  </authors>
  <commentList>
    <comment ref="A78" authorId="0" shapeId="0">
      <text>
        <t xml:space="preserve">При уровне значимости 95%
</t>
      </text>
    </comment>
    <comment ref="A79" authorId="0" shapeId="0">
      <text>
        <t>При уровне значимости 95%</t>
      </text>
    </comment>
  </commentList>
</comments>
</file>

<file path=xl/comments/comment3.xml><?xml version="1.0" encoding="utf-8"?>
<comments xmlns="http://schemas.openxmlformats.org/spreadsheetml/2006/main">
  <authors>
    <author>rev</author>
  </authors>
  <commentList>
    <comment ref="A74" authorId="0" shapeId="0">
      <text>
        <t xml:space="preserve">При уровне значимости 95%
</t>
      </text>
    </comment>
    <comment ref="A75" authorId="0" shapeId="0">
      <text>
        <t>При уровне значимости 95%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88</row>
      <rowOff>0</rowOff>
    </from>
    <ext cx="64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112</row>
      <rowOff>0</rowOff>
    </from>
    <ext cx="64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109</row>
      <rowOff>0</rowOff>
    </from>
    <ext cx="64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A:\lab1-9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A:\&#1090;&#1086;&#1088;&#1085;%201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лаб1"/>
      <sheetName val="лаб2"/>
      <sheetName val="лаб3"/>
      <sheetName val="лаб4"/>
      <sheetName val="лаб4а"/>
      <sheetName val="лаб5"/>
      <sheetName val="лаб6"/>
      <sheetName val="лаб6а"/>
      <sheetName val="лаб6б"/>
      <sheetName val="лаб7"/>
      <sheetName val="лаб7a"/>
      <sheetName val="лаб8"/>
      <sheetName val="реш_лаб1"/>
      <sheetName val="реш_лаб2"/>
      <sheetName val="реш_лаб3"/>
      <sheetName val="гист"/>
      <sheetName val="данные"/>
      <sheetName val="2"/>
      <sheetName val="1"/>
      <sheetName val="Модуль1"/>
      <sheetName val="Модуль2"/>
      <sheetName val="Модуль4"/>
    </sheetNames>
    <sheetDataSet>
      <sheetData sheetId="0" refreshError="1"/>
      <sheetData sheetId="1" refreshError="1"/>
      <sheetData sheetId="2">
        <row r="26">
          <cell r="D26" t="str">
            <v>пример</v>
          </cell>
        </row>
        <row r="127">
          <cell r="A127" t="str">
            <v>возврат к заданию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>
        <row r="11">
          <cell r="B11">
            <v>73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исх данные"/>
      <sheetName val="Лист5"/>
      <sheetName val="Лист6"/>
      <sheetName val="спец вставка"/>
      <sheetName val="преобраз данные"/>
    </sheetNames>
    <sheetDataSet>
      <sheetData sheetId="0">
        <row r="71">
          <cell r="M71" t="str">
            <v>спрос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3"/>
  <sheetViews>
    <sheetView tabSelected="1" workbookViewId="0">
      <selection activeCell="C1" sqref="C1"/>
    </sheetView>
  </sheetViews>
  <sheetFormatPr baseColWidth="8" defaultRowHeight="12.75"/>
  <cols>
    <col width="38" customWidth="1" style="49" min="1" max="1"/>
    <col width="22.42578125" customWidth="1" style="49" min="2" max="3"/>
    <col width="14" customWidth="1" style="49" min="4" max="4"/>
    <col width="14" bestFit="1" customWidth="1" style="49" min="5" max="5"/>
    <col width="22" bestFit="1" customWidth="1" style="49" min="6" max="6"/>
    <col width="12" bestFit="1" customWidth="1" style="49" min="7" max="7"/>
    <col width="11.140625" bestFit="1" customWidth="1" style="49" min="8" max="8"/>
    <col width="11.5703125" bestFit="1" customWidth="1" style="49" min="9" max="9"/>
    <col width="46" customWidth="1" style="49" min="10" max="10"/>
    <col width="20" customWidth="1" style="49" min="11" max="11"/>
    <col width="22" customWidth="1" style="49" min="12" max="12"/>
    <col width="16" customWidth="1" style="49" min="13" max="13"/>
    <col width="16" customWidth="1" style="49" min="14" max="14"/>
    <col width="18" customWidth="1" style="49" min="15" max="15"/>
    <col width="18" customWidth="1" style="49" min="16" max="16"/>
  </cols>
  <sheetData>
    <row r="1" ht="24" customHeight="1" s="49">
      <c r="A1" s="1" t="inlineStr">
        <is>
          <t>Вариант</t>
        </is>
      </c>
      <c r="B1" s="1" t="n"/>
      <c r="C1" s="10" t="n">
        <v>7</v>
      </c>
      <c r="J1" s="70" t="inlineStr">
        <is>
          <t>ВЫВОД ИТОГОВ</t>
        </is>
      </c>
    </row>
    <row r="2" ht="32" customHeight="1" s="49">
      <c r="J2" s="71" t="inlineStr">
        <is>
          <t>Парная линейная регрессия. Y — количество проданных чебуреков, шт.; X — цена, руб. Уровень доверия 95%, уровень значимости 5%.</t>
        </is>
      </c>
    </row>
    <row r="3">
      <c r="A3" s="41" t="inlineStr">
        <is>
          <t xml:space="preserve">      Менеджер новой чебуречной не уверен в правильности выбранной цены на чебуреки, </t>
        </is>
      </c>
      <c r="J3" s="72" t="inlineStr">
        <is>
          <t>Регрессионная статистика</t>
        </is>
      </c>
      <c r="K3" s="73" t="n"/>
    </row>
    <row r="4">
      <c r="A4" s="41" t="inlineStr">
        <is>
          <t>поэтому он на протяжении 24 недель варьирует цену и записывает количество проданных</t>
        </is>
      </c>
      <c r="J4" s="74" t="inlineStr">
        <is>
          <t>Множественный R</t>
        </is>
      </c>
      <c r="K4" s="75">
        <f>SQRT(K5)</f>
        <v/>
      </c>
    </row>
    <row r="5">
      <c r="A5" s="41" t="inlineStr">
        <is>
          <t>чебуреков. Полученные менеджером данные приведены в таблице.</t>
        </is>
      </c>
      <c r="J5" s="74" t="inlineStr">
        <is>
          <t>R-квадрат</t>
        </is>
      </c>
      <c r="K5" s="75">
        <f>RSQ(C12:C35,B12:B35)</f>
        <v/>
      </c>
    </row>
    <row r="6">
      <c r="A6" s="41" t="inlineStr">
        <is>
          <t>1) построить зависимость количества проданных чебуреков от цены;</t>
        </is>
      </c>
      <c r="J6" s="74" t="inlineStr">
        <is>
          <t>Нормированный R-квадрат</t>
        </is>
      </c>
      <c r="K6" s="75">
        <f>1-(1-K5)*(K8-1)/(K8-2)</f>
        <v/>
      </c>
    </row>
    <row r="7">
      <c r="A7" s="56" t="inlineStr">
        <is>
          <t>результаты анализа выводить в столбце J</t>
        </is>
      </c>
      <c r="J7" s="74" t="inlineStr">
        <is>
          <t>Стандартная ошибка</t>
        </is>
      </c>
      <c r="K7" s="75">
        <f>STEYX(C12:C35,B12:B35)</f>
        <v/>
      </c>
    </row>
    <row r="8">
      <c r="A8" s="41" t="inlineStr">
        <is>
          <t>2) исследовать качественные характеристики построенной зависимости;</t>
        </is>
      </c>
      <c r="J8" s="74" t="inlineStr">
        <is>
          <t>Наблюдения</t>
        </is>
      </c>
      <c r="K8" s="76">
        <f>COUNT(C12:C35)</f>
        <v/>
      </c>
    </row>
    <row r="9" ht="13.5" customHeight="1" s="49" thickBot="1">
      <c r="A9" s="41" t="n"/>
    </row>
    <row r="10" ht="41.25" customHeight="1" s="49" thickBot="1">
      <c r="A10" s="11" t="inlineStr">
        <is>
          <t>Номер недели</t>
        </is>
      </c>
      <c r="B10" s="12" t="inlineStr">
        <is>
          <t>Цена чебурека (руб.)</t>
        </is>
      </c>
      <c r="C10" s="11" t="inlineStr">
        <is>
          <t>Количество проданных чебуреков (штук)</t>
        </is>
      </c>
      <c r="J10" s="72" t="inlineStr">
        <is>
          <t>Дисперсионный анализ</t>
        </is>
      </c>
      <c r="K10" s="77" t="n"/>
      <c r="L10" s="77" t="n"/>
      <c r="M10" s="77" t="n"/>
      <c r="N10" s="77" t="n"/>
      <c r="O10" s="77" t="n"/>
      <c r="P10" s="73" t="n"/>
    </row>
    <row r="11" ht="16.5" customHeight="1" s="49" thickBot="1">
      <c r="A11" s="13" t="inlineStr">
        <is>
          <t>t</t>
        </is>
      </c>
      <c r="B11" s="14" t="inlineStr">
        <is>
          <t>X</t>
        </is>
      </c>
      <c r="C11" s="13" t="inlineStr">
        <is>
          <t>Y</t>
        </is>
      </c>
      <c r="D11" s="78" t="inlineStr">
        <is>
          <t>Yтеор</t>
        </is>
      </c>
      <c r="E11" s="78" t="inlineStr">
        <is>
          <t>Остаток</t>
        </is>
      </c>
      <c r="F11" s="78" t="inlineStr">
        <is>
          <t>Стандартный остаток</t>
        </is>
      </c>
      <c r="G11" s="78" t="inlineStr">
        <is>
          <t>Выброс</t>
        </is>
      </c>
      <c r="K11" s="78" t="inlineStr">
        <is>
          <t>df</t>
        </is>
      </c>
      <c r="L11" s="78" t="inlineStr">
        <is>
          <t>SS</t>
        </is>
      </c>
      <c r="M11" s="78" t="inlineStr">
        <is>
          <t>MS</t>
        </is>
      </c>
      <c r="N11" s="78" t="inlineStr">
        <is>
          <t>F</t>
        </is>
      </c>
      <c r="O11" s="78" t="inlineStr">
        <is>
          <t>Значимость F</t>
        </is>
      </c>
      <c r="P11" s="78" t="inlineStr">
        <is>
          <t>F критическое</t>
        </is>
      </c>
    </row>
    <row r="12">
      <c r="A12" s="15" t="n">
        <v>1</v>
      </c>
      <c r="B12" s="16" t="n">
        <v>12.03802248811494</v>
      </c>
      <c r="C12" s="17" t="n">
        <v>810.8022559013807</v>
      </c>
      <c r="D12" s="79">
        <f>$K$17+$K$18*B12</f>
        <v/>
      </c>
      <c r="E12" s="79">
        <f>C12-D12</f>
        <v/>
      </c>
      <c r="F12" s="80">
        <f>IF($K$7=0,"",E12/$K$7)</f>
        <v/>
      </c>
      <c r="G12" s="81">
        <f>IF(ABS(F12)&gt;2,"да","нет")</f>
        <v/>
      </c>
      <c r="J12" s="74" t="inlineStr">
        <is>
          <t>Регрессия</t>
        </is>
      </c>
      <c r="K12" s="76">
        <f>1</f>
        <v/>
      </c>
      <c r="L12" s="82">
        <f>K5*L14</f>
        <v/>
      </c>
      <c r="M12" s="82">
        <f>L12/K12</f>
        <v/>
      </c>
      <c r="N12" s="83">
        <f>M12/M13</f>
        <v/>
      </c>
      <c r="O12" s="84">
        <f>FDIST(N12,K12,K13)</f>
        <v/>
      </c>
      <c r="P12" s="83">
        <f>FINV(0.05,K12,K13)</f>
        <v/>
      </c>
    </row>
    <row r="13">
      <c r="A13" s="18" t="n">
        <v>2</v>
      </c>
      <c r="B13" s="19" t="n">
        <v>13.37504877523306</v>
      </c>
      <c r="C13" s="20" t="n">
        <v>609.040469106797</v>
      </c>
      <c r="D13" s="79">
        <f>$K$17+$K$18*B13</f>
        <v/>
      </c>
      <c r="E13" s="79">
        <f>C13-D13</f>
        <v/>
      </c>
      <c r="F13" s="80">
        <f>IF($K$7=0,"",E13/$K$7)</f>
        <v/>
      </c>
      <c r="G13" s="81">
        <f>IF(ABS(F13)&gt;2,"да","нет")</f>
        <v/>
      </c>
      <c r="J13" s="74" t="inlineStr">
        <is>
          <t>Остаток</t>
        </is>
      </c>
      <c r="K13" s="76">
        <f>K8-2</f>
        <v/>
      </c>
      <c r="L13" s="82">
        <f>L14-L12</f>
        <v/>
      </c>
      <c r="M13" s="82">
        <f>L13/K13</f>
        <v/>
      </c>
    </row>
    <row r="14">
      <c r="A14" s="18" t="n">
        <v>3</v>
      </c>
      <c r="B14" s="19" t="n">
        <v>11.88538182357009</v>
      </c>
      <c r="C14" s="20" t="n">
        <v>954.7082155832118</v>
      </c>
      <c r="D14" s="79">
        <f>$K$17+$K$18*B14</f>
        <v/>
      </c>
      <c r="E14" s="79">
        <f>C14-D14</f>
        <v/>
      </c>
      <c r="F14" s="80">
        <f>IF($K$7=0,"",E14/$K$7)</f>
        <v/>
      </c>
      <c r="G14" s="81">
        <f>IF(ABS(F14)&gt;2,"да","нет")</f>
        <v/>
      </c>
      <c r="J14" s="74" t="inlineStr">
        <is>
          <t>Итого</t>
        </is>
      </c>
      <c r="K14" s="76">
        <f>K8-1</f>
        <v/>
      </c>
      <c r="L14" s="82">
        <f>DEVSQ(C12:C35)</f>
        <v/>
      </c>
    </row>
    <row r="15">
      <c r="A15" s="18" t="n">
        <v>4</v>
      </c>
      <c r="B15" s="19" t="n">
        <v>8.559586469028423</v>
      </c>
      <c r="C15" s="20" t="n">
        <v>1501.73874656097</v>
      </c>
      <c r="D15" s="79">
        <f>$K$17+$K$18*B15</f>
        <v/>
      </c>
      <c r="E15" s="79">
        <f>C15-D15</f>
        <v/>
      </c>
      <c r="F15" s="80">
        <f>IF($K$7=0,"",E15/$K$7)</f>
        <v/>
      </c>
      <c r="G15" s="81">
        <f>IF(ABS(F15)&gt;2,"да","нет")</f>
        <v/>
      </c>
    </row>
    <row r="16">
      <c r="A16" s="18" t="n">
        <v>5</v>
      </c>
      <c r="B16" s="19" t="n">
        <v>11.82109961456083</v>
      </c>
      <c r="C16" s="20" t="n">
        <v>1001.533130565527</v>
      </c>
      <c r="D16" s="79">
        <f>$K$17+$K$18*B16</f>
        <v/>
      </c>
      <c r="E16" s="79">
        <f>C16-D16</f>
        <v/>
      </c>
      <c r="F16" s="80">
        <f>IF($K$7=0,"",E16/$K$7)</f>
        <v/>
      </c>
      <c r="G16" s="81">
        <f>IF(ABS(F16)&gt;2,"да","нет")</f>
        <v/>
      </c>
      <c r="J16" s="78" t="inlineStr"/>
      <c r="K16" s="78" t="inlineStr">
        <is>
          <t>Коэффициенты</t>
        </is>
      </c>
      <c r="L16" s="78" t="inlineStr">
        <is>
          <t>Стандартная ошибка</t>
        </is>
      </c>
      <c r="M16" s="78" t="inlineStr">
        <is>
          <t>t-статистика</t>
        </is>
      </c>
      <c r="N16" s="78" t="inlineStr">
        <is>
          <t>P-Значение</t>
        </is>
      </c>
      <c r="O16" s="78" t="inlineStr">
        <is>
          <t>Нижние 95%</t>
        </is>
      </c>
      <c r="P16" s="78" t="inlineStr">
        <is>
          <t>Верхние 95%</t>
        </is>
      </c>
    </row>
    <row r="17">
      <c r="A17" s="18" t="n">
        <v>6</v>
      </c>
      <c r="B17" s="19" t="n">
        <v>9.424450718000266</v>
      </c>
      <c r="C17" s="20" t="n">
        <v>1433.685039865833</v>
      </c>
      <c r="D17" s="79">
        <f>$K$17+$K$18*B17</f>
        <v/>
      </c>
      <c r="E17" s="79">
        <f>C17-D17</f>
        <v/>
      </c>
      <c r="F17" s="80">
        <f>IF($K$7=0,"",E17/$K$7)</f>
        <v/>
      </c>
      <c r="G17" s="81">
        <f>IF(ABS(F17)&gt;2,"да","нет")</f>
        <v/>
      </c>
      <c r="J17" s="74" t="inlineStr">
        <is>
          <t>Y-пересечение (a)</t>
        </is>
      </c>
      <c r="K17" s="75">
        <f>INTERCEPT(C12:C35,B12:B35)</f>
        <v/>
      </c>
      <c r="L17" s="75">
        <f>$K$7*SQRT(1/$K$8+AVERAGE(B12:B35)^2/DEVSQ(B12:B35))</f>
        <v/>
      </c>
      <c r="M17" s="83">
        <f>K17/L17</f>
        <v/>
      </c>
      <c r="N17" s="84">
        <f>TDIST(ABS(M17),$K$13,2)</f>
        <v/>
      </c>
      <c r="O17" s="75">
        <f>K17-TINV(0.05,$K$13)*L17</f>
        <v/>
      </c>
      <c r="P17" s="75">
        <f>K17+TINV(0.05,$K$13)*L17</f>
        <v/>
      </c>
    </row>
    <row r="18">
      <c r="A18" s="18" t="n">
        <v>7</v>
      </c>
      <c r="B18" s="19" t="n">
        <v>11.06437747529245</v>
      </c>
      <c r="C18" s="20" t="n">
        <v>1022.052058141424</v>
      </c>
      <c r="D18" s="79">
        <f>$K$17+$K$18*B18</f>
        <v/>
      </c>
      <c r="E18" s="79">
        <f>C18-D18</f>
        <v/>
      </c>
      <c r="F18" s="80">
        <f>IF($K$7=0,"",E18/$K$7)</f>
        <v/>
      </c>
      <c r="G18" s="81">
        <f>IF(ABS(F18)&gt;2,"да","нет")</f>
        <v/>
      </c>
      <c r="J18" s="74" t="inlineStr">
        <is>
          <t>Переменная X 1 (b, цена)</t>
        </is>
      </c>
      <c r="K18" s="75">
        <f>SLOPE(C12:C35,B12:B35)</f>
        <v/>
      </c>
      <c r="L18" s="75">
        <f>$K$7/SQRT(DEVSQ(B12:B35))</f>
        <v/>
      </c>
      <c r="M18" s="83">
        <f>K18/L18</f>
        <v/>
      </c>
      <c r="N18" s="84">
        <f>TDIST(ABS(M18),$K$13,2)</f>
        <v/>
      </c>
      <c r="O18" s="75">
        <f>K18-TINV(0.05,$K$13)*L18</f>
        <v/>
      </c>
      <c r="P18" s="75">
        <f>K18+TINV(0.05,$K$13)*L18</f>
        <v/>
      </c>
    </row>
    <row r="19">
      <c r="A19" s="18" t="n">
        <v>8</v>
      </c>
      <c r="B19" s="19" t="n">
        <v>8.923037062431206</v>
      </c>
      <c r="C19" s="20" t="n">
        <v>1444.588262425089</v>
      </c>
      <c r="D19" s="79">
        <f>$K$17+$K$18*B19</f>
        <v/>
      </c>
      <c r="E19" s="79">
        <f>C19-D19</f>
        <v/>
      </c>
      <c r="F19" s="80">
        <f>IF($K$7=0,"",E19/$K$7)</f>
        <v/>
      </c>
      <c r="G19" s="81">
        <f>IF(ABS(F19)&gt;2,"да","нет")</f>
        <v/>
      </c>
    </row>
    <row r="20">
      <c r="A20" s="18" t="n">
        <v>9</v>
      </c>
      <c r="B20" s="19" t="n">
        <v>12.17663048832868</v>
      </c>
      <c r="C20" s="20" t="n">
        <v>934.0773055064747</v>
      </c>
      <c r="D20" s="79">
        <f>$K$17+$K$18*B20</f>
        <v/>
      </c>
      <c r="E20" s="79">
        <f>C20-D20</f>
        <v/>
      </c>
      <c r="F20" s="80">
        <f>IF($K$7=0,"",E20/$K$7)</f>
        <v/>
      </c>
      <c r="G20" s="81">
        <f>IF(ABS(F20)&gt;2,"да","нет")</f>
        <v/>
      </c>
      <c r="J20" s="74" t="inlineStr">
        <is>
          <t>t-критическое (двустороннее, α = 0,05)</t>
        </is>
      </c>
      <c r="K20" s="75">
        <f>TINV(0.05,K13)</f>
        <v/>
      </c>
    </row>
    <row r="21" ht="32" customHeight="1" s="49">
      <c r="A21" s="18" t="n">
        <v>10</v>
      </c>
      <c r="B21" s="19" t="n">
        <v>8.251837829721172</v>
      </c>
      <c r="C21" s="20" t="n">
        <v>1558.015276492964</v>
      </c>
      <c r="D21" s="79">
        <f>$K$17+$K$18*B21</f>
        <v/>
      </c>
      <c r="E21" s="79">
        <f>C21-D21</f>
        <v/>
      </c>
      <c r="F21" s="80">
        <f>IF($K$7=0,"",E21/$K$7)</f>
        <v/>
      </c>
      <c r="G21" s="81">
        <f>IF(ABS(F21)&gt;2,"да","нет")</f>
        <v/>
      </c>
      <c r="J21" s="85" t="inlineStr">
        <is>
          <t>Коэффициент достоверен, если |t| &gt; tкр. Это равносильно условию P-значение &lt; 0,05. Парный коэффициент корреляции (со знаком) — в ячейке B68; множественный R в отчёте равен его модулю.</t>
        </is>
      </c>
      <c r="K21" s="77" t="n"/>
      <c r="L21" s="77" t="n"/>
      <c r="M21" s="77" t="n"/>
      <c r="N21" s="77" t="n"/>
      <c r="O21" s="77" t="n"/>
      <c r="P21" s="73" t="n"/>
    </row>
    <row r="22">
      <c r="A22" s="18" t="n">
        <v>11</v>
      </c>
      <c r="B22" s="19" t="n">
        <v>9.860341279701682</v>
      </c>
      <c r="C22" s="20" t="n">
        <v>1285.693117421913</v>
      </c>
      <c r="D22" s="79">
        <f>$K$17+$K$18*B22</f>
        <v/>
      </c>
      <c r="E22" s="79">
        <f>C22-D22</f>
        <v/>
      </c>
      <c r="F22" s="80">
        <f>IF($K$7=0,"",E22/$K$7)</f>
        <v/>
      </c>
      <c r="G22" s="81">
        <f>IF(ABS(F22)&gt;2,"да","нет")</f>
        <v/>
      </c>
      <c r="J22" s="74" t="inlineStr">
        <is>
          <t>Коэффициент корреляции Пирсона r(X,Y)</t>
        </is>
      </c>
      <c r="K22" s="75">
        <f>CORREL(C12:C35,B12:B35)</f>
        <v/>
      </c>
    </row>
    <row r="23">
      <c r="A23" s="18" t="n">
        <v>12</v>
      </c>
      <c r="B23" s="19" t="n">
        <v>10.71384538043194</v>
      </c>
      <c r="C23" s="20" t="n">
        <v>1094.265028812926</v>
      </c>
      <c r="D23" s="79">
        <f>$K$17+$K$18*B23</f>
        <v/>
      </c>
      <c r="E23" s="79">
        <f>C23-D23</f>
        <v/>
      </c>
      <c r="F23" s="80">
        <f>IF($K$7=0,"",E23/$K$7)</f>
        <v/>
      </c>
      <c r="G23" s="81">
        <f>IF(ABS(F23)&gt;2,"да","нет")</f>
        <v/>
      </c>
    </row>
    <row r="24">
      <c r="A24" s="18" t="n">
        <v>13</v>
      </c>
      <c r="B24" s="19" t="n">
        <v>11.8836011278729</v>
      </c>
      <c r="C24" s="20" t="n">
        <v>863.7926670227453</v>
      </c>
      <c r="D24" s="79">
        <f>$K$17+$K$18*B24</f>
        <v/>
      </c>
      <c r="E24" s="79">
        <f>C24-D24</f>
        <v/>
      </c>
      <c r="F24" s="80">
        <f>IF($K$7=0,"",E24/$K$7)</f>
        <v/>
      </c>
      <c r="G24" s="81">
        <f>IF(ABS(F24)&gt;2,"да","нет")</f>
        <v/>
      </c>
      <c r="J24" s="72" t="inlineStr">
        <is>
          <t>ВЫВОД ОСТАТКОВ</t>
        </is>
      </c>
      <c r="K24" s="77" t="n"/>
      <c r="L24" s="77" t="n"/>
      <c r="M24" s="77" t="n"/>
      <c r="N24" s="73" t="n"/>
    </row>
    <row r="25">
      <c r="A25" s="18" t="n">
        <v>14</v>
      </c>
      <c r="B25" s="19" t="n">
        <v>13.52748687292038</v>
      </c>
      <c r="C25" s="20" t="n">
        <v>568.214341955681</v>
      </c>
      <c r="D25" s="79">
        <f>$K$17+$K$18*B25</f>
        <v/>
      </c>
      <c r="E25" s="79">
        <f>C25-D25</f>
        <v/>
      </c>
      <c r="F25" s="80">
        <f>IF($K$7=0,"",E25/$K$7)</f>
        <v/>
      </c>
      <c r="G25" s="81">
        <f>IF(ABS(F25)&gt;2,"да","нет")</f>
        <v/>
      </c>
      <c r="J25" s="78" t="inlineStr">
        <is>
          <t>Наблюдение</t>
        </is>
      </c>
      <c r="K25" s="78" t="inlineStr">
        <is>
          <t>Предсказанное Y</t>
        </is>
      </c>
      <c r="L25" s="78" t="inlineStr">
        <is>
          <t>Остатки</t>
        </is>
      </c>
      <c r="M25" s="78" t="inlineStr">
        <is>
          <t>Стандартные остатки</t>
        </is>
      </c>
      <c r="N25" s="78" t="inlineStr">
        <is>
          <t>Выброс</t>
        </is>
      </c>
    </row>
    <row r="26">
      <c r="A26" s="18" t="n">
        <v>15</v>
      </c>
      <c r="B26" s="19" t="n">
        <v>9.598100533355391</v>
      </c>
      <c r="C26" s="20" t="n">
        <v>1335.059008824203</v>
      </c>
      <c r="D26" s="79">
        <f>$K$17+$K$18*B26</f>
        <v/>
      </c>
      <c r="E26" s="79">
        <f>C26-D26</f>
        <v/>
      </c>
      <c r="F26" s="80">
        <f>IF($K$7=0,"",E26/$K$7)</f>
        <v/>
      </c>
      <c r="G26" s="81">
        <f>IF(ABS(F26)&gt;2,"да","нет")</f>
        <v/>
      </c>
      <c r="J26" s="86">
        <f>A12</f>
        <v/>
      </c>
      <c r="K26" s="87">
        <f>D12</f>
        <v/>
      </c>
      <c r="L26" s="87">
        <f>E12</f>
        <v/>
      </c>
      <c r="M26" s="88">
        <f>F12</f>
        <v/>
      </c>
      <c r="N26" s="89">
        <f>G12</f>
        <v/>
      </c>
    </row>
    <row r="27">
      <c r="A27" s="18" t="n">
        <v>16</v>
      </c>
      <c r="B27" s="19" t="n">
        <v>9.676248438341695</v>
      </c>
      <c r="C27" s="20" t="n">
        <v>1396.627791449322</v>
      </c>
      <c r="D27" s="79">
        <f>$K$17+$K$18*B27</f>
        <v/>
      </c>
      <c r="E27" s="79">
        <f>C27-D27</f>
        <v/>
      </c>
      <c r="F27" s="80">
        <f>IF($K$7=0,"",E27/$K$7)</f>
        <v/>
      </c>
      <c r="G27" s="81">
        <f>IF(ABS(F27)&gt;2,"да","нет")</f>
        <v/>
      </c>
      <c r="J27" s="86">
        <f>A13</f>
        <v/>
      </c>
      <c r="K27" s="87">
        <f>D13</f>
        <v/>
      </c>
      <c r="L27" s="87">
        <f>E13</f>
        <v/>
      </c>
      <c r="M27" s="88">
        <f>F13</f>
        <v/>
      </c>
      <c r="N27" s="89">
        <f>G13</f>
        <v/>
      </c>
    </row>
    <row r="28">
      <c r="A28" s="18" t="n">
        <v>17</v>
      </c>
      <c r="B28" s="19" t="n">
        <v>13.37454919265959</v>
      </c>
      <c r="C28" s="20" t="n">
        <v>721.2990475690858</v>
      </c>
      <c r="D28" s="79">
        <f>$K$17+$K$18*B28</f>
        <v/>
      </c>
      <c r="E28" s="79">
        <f>C28-D28</f>
        <v/>
      </c>
      <c r="F28" s="80">
        <f>IF($K$7=0,"",E28/$K$7)</f>
        <v/>
      </c>
      <c r="G28" s="81">
        <f>IF(ABS(F28)&gt;2,"да","нет")</f>
        <v/>
      </c>
      <c r="J28" s="86">
        <f>A14</f>
        <v/>
      </c>
      <c r="K28" s="87">
        <f>D14</f>
        <v/>
      </c>
      <c r="L28" s="87">
        <f>E14</f>
        <v/>
      </c>
      <c r="M28" s="88">
        <f>F14</f>
        <v/>
      </c>
      <c r="N28" s="89">
        <f>G14</f>
        <v/>
      </c>
    </row>
    <row r="29">
      <c r="A29" s="18" t="n">
        <v>18</v>
      </c>
      <c r="B29" s="19" t="n">
        <v>10.99257781571389</v>
      </c>
      <c r="C29" s="20" t="n">
        <v>1135.299786512579</v>
      </c>
      <c r="D29" s="79">
        <f>$K$17+$K$18*B29</f>
        <v/>
      </c>
      <c r="E29" s="79">
        <f>C29-D29</f>
        <v/>
      </c>
      <c r="F29" s="80">
        <f>IF($K$7=0,"",E29/$K$7)</f>
        <v/>
      </c>
      <c r="G29" s="81">
        <f>IF(ABS(F29)&gt;2,"да","нет")</f>
        <v/>
      </c>
      <c r="J29" s="86">
        <f>A15</f>
        <v/>
      </c>
      <c r="K29" s="87">
        <f>D15</f>
        <v/>
      </c>
      <c r="L29" s="87">
        <f>E15</f>
        <v/>
      </c>
      <c r="M29" s="88">
        <f>F15</f>
        <v/>
      </c>
      <c r="N29" s="89">
        <f>G15</f>
        <v/>
      </c>
    </row>
    <row r="30">
      <c r="A30" s="18" t="n">
        <v>19</v>
      </c>
      <c r="B30" s="19" t="n">
        <v>12.24656298808828</v>
      </c>
      <c r="C30" s="20" t="n">
        <v>859.4265226248222</v>
      </c>
      <c r="D30" s="79">
        <f>$K$17+$K$18*B30</f>
        <v/>
      </c>
      <c r="E30" s="79">
        <f>C30-D30</f>
        <v/>
      </c>
      <c r="F30" s="80">
        <f>IF($K$7=0,"",E30/$K$7)</f>
        <v/>
      </c>
      <c r="G30" s="81">
        <f>IF(ABS(F30)&gt;2,"да","нет")</f>
        <v/>
      </c>
      <c r="J30" s="86">
        <f>A16</f>
        <v/>
      </c>
      <c r="K30" s="87">
        <f>D16</f>
        <v/>
      </c>
      <c r="L30" s="87">
        <f>E16</f>
        <v/>
      </c>
      <c r="M30" s="88">
        <f>F16</f>
        <v/>
      </c>
      <c r="N30" s="89">
        <f>G16</f>
        <v/>
      </c>
    </row>
    <row r="31">
      <c r="A31" s="18" t="n">
        <v>20</v>
      </c>
      <c r="B31" s="19" t="n">
        <v>8.628826877009718</v>
      </c>
      <c r="C31" s="20" t="n">
        <v>1474.813555257932</v>
      </c>
      <c r="D31" s="79">
        <f>$K$17+$K$18*B31</f>
        <v/>
      </c>
      <c r="E31" s="79">
        <f>C31-D31</f>
        <v/>
      </c>
      <c r="F31" s="80">
        <f>IF($K$7=0,"",E31/$K$7)</f>
        <v/>
      </c>
      <c r="G31" s="81">
        <f>IF(ABS(F31)&gt;2,"да","нет")</f>
        <v/>
      </c>
      <c r="J31" s="86">
        <f>A17</f>
        <v/>
      </c>
      <c r="K31" s="87">
        <f>D17</f>
        <v/>
      </c>
      <c r="L31" s="87">
        <f>E17</f>
        <v/>
      </c>
      <c r="M31" s="88">
        <f>F17</f>
        <v/>
      </c>
      <c r="N31" s="89">
        <f>G17</f>
        <v/>
      </c>
    </row>
    <row r="32">
      <c r="A32" s="18" t="n">
        <v>21</v>
      </c>
      <c r="B32" s="19" t="n">
        <v>12.3092834892958</v>
      </c>
      <c r="C32" s="20" t="n">
        <v>838.029746036299</v>
      </c>
      <c r="D32" s="79">
        <f>$K$17+$K$18*B32</f>
        <v/>
      </c>
      <c r="E32" s="79">
        <f>C32-D32</f>
        <v/>
      </c>
      <c r="F32" s="80">
        <f>IF($K$7=0,"",E32/$K$7)</f>
        <v/>
      </c>
      <c r="G32" s="81">
        <f>IF(ABS(F32)&gt;2,"да","нет")</f>
        <v/>
      </c>
      <c r="J32" s="86">
        <f>A18</f>
        <v/>
      </c>
      <c r="K32" s="87">
        <f>D18</f>
        <v/>
      </c>
      <c r="L32" s="87">
        <f>E18</f>
        <v/>
      </c>
      <c r="M32" s="88">
        <f>F18</f>
        <v/>
      </c>
      <c r="N32" s="89">
        <f>G18</f>
        <v/>
      </c>
    </row>
    <row r="33">
      <c r="A33" s="18" t="n">
        <v>22</v>
      </c>
      <c r="B33" s="19" t="n">
        <v>13.90654651068643</v>
      </c>
      <c r="C33" s="20" t="n">
        <v>582.3001872946343</v>
      </c>
      <c r="D33" s="79">
        <f>$K$17+$K$18*B33</f>
        <v/>
      </c>
      <c r="E33" s="79">
        <f>C33-D33</f>
        <v/>
      </c>
      <c r="F33" s="80">
        <f>IF($K$7=0,"",E33/$K$7)</f>
        <v/>
      </c>
      <c r="G33" s="81">
        <f>IF(ABS(F33)&gt;2,"да","нет")</f>
        <v/>
      </c>
      <c r="J33" s="86">
        <f>A19</f>
        <v/>
      </c>
      <c r="K33" s="87">
        <f>D19</f>
        <v/>
      </c>
      <c r="L33" s="87">
        <f>E19</f>
        <v/>
      </c>
      <c r="M33" s="88">
        <f>F19</f>
        <v/>
      </c>
      <c r="N33" s="89">
        <f>G19</f>
        <v/>
      </c>
    </row>
    <row r="34">
      <c r="A34" s="18" t="n">
        <v>23</v>
      </c>
      <c r="B34" s="19" t="n">
        <v>13.08095020286146</v>
      </c>
      <c r="C34" s="20" t="n">
        <v>675.7823140442001</v>
      </c>
      <c r="D34" s="79">
        <f>$K$17+$K$18*B34</f>
        <v/>
      </c>
      <c r="E34" s="79">
        <f>C34-D34</f>
        <v/>
      </c>
      <c r="F34" s="80">
        <f>IF($K$7=0,"",E34/$K$7)</f>
        <v/>
      </c>
      <c r="G34" s="81">
        <f>IF(ABS(F34)&gt;2,"да","нет")</f>
        <v/>
      </c>
      <c r="J34" s="86">
        <f>A20</f>
        <v/>
      </c>
      <c r="K34" s="87">
        <f>D20</f>
        <v/>
      </c>
      <c r="L34" s="87">
        <f>E20</f>
        <v/>
      </c>
      <c r="M34" s="88">
        <f>F20</f>
        <v/>
      </c>
      <c r="N34" s="89">
        <f>G20</f>
        <v/>
      </c>
    </row>
    <row r="35">
      <c r="A35" s="18" t="n">
        <v>24</v>
      </c>
      <c r="B35" s="19" t="n">
        <v>11.60018425500207</v>
      </c>
      <c r="C35" s="20" t="n">
        <v>959.6578970268783</v>
      </c>
      <c r="D35" s="79">
        <f>$K$17+$K$18*B35</f>
        <v/>
      </c>
      <c r="E35" s="79">
        <f>C35-D35</f>
        <v/>
      </c>
      <c r="F35" s="80">
        <f>IF($K$7=0,"",E35/$K$7)</f>
        <v/>
      </c>
      <c r="G35" s="81">
        <f>IF(ABS(F35)&gt;2,"да","нет")</f>
        <v/>
      </c>
      <c r="J35" s="86">
        <f>A21</f>
        <v/>
      </c>
      <c r="K35" s="87">
        <f>D21</f>
        <v/>
      </c>
      <c r="L35" s="87">
        <f>E21</f>
        <v/>
      </c>
      <c r="M35" s="88">
        <f>F21</f>
        <v/>
      </c>
      <c r="N35" s="89">
        <f>G21</f>
        <v/>
      </c>
    </row>
    <row r="36">
      <c r="J36" s="86">
        <f>A22</f>
        <v/>
      </c>
      <c r="K36" s="87">
        <f>D22</f>
        <v/>
      </c>
      <c r="L36" s="87">
        <f>E22</f>
        <v/>
      </c>
      <c r="M36" s="88">
        <f>F22</f>
        <v/>
      </c>
      <c r="N36" s="89">
        <f>G22</f>
        <v/>
      </c>
    </row>
    <row r="37" ht="13.5" customHeight="1" s="49" thickBot="1">
      <c r="J37" s="86">
        <f>A23</f>
        <v/>
      </c>
      <c r="K37" s="87">
        <f>D23</f>
        <v/>
      </c>
      <c r="L37" s="87">
        <f>E23</f>
        <v/>
      </c>
      <c r="M37" s="88">
        <f>F23</f>
        <v/>
      </c>
      <c r="N37" s="89">
        <f>G23</f>
        <v/>
      </c>
    </row>
    <row r="38" ht="13.5" customFormat="1" customHeight="1" s="24" thickTop="1">
      <c r="A38" s="23" t="inlineStr">
        <is>
          <t>1. Записать уравнение парной линейной регрессии (общий вид y=a+bx)</t>
        </is>
      </c>
      <c r="J38" s="86">
        <f>A24</f>
        <v/>
      </c>
      <c r="K38" s="87">
        <f>D24</f>
        <v/>
      </c>
      <c r="L38" s="87">
        <f>E24</f>
        <v/>
      </c>
      <c r="M38" s="88">
        <f>F24</f>
        <v/>
      </c>
      <c r="N38" s="89">
        <f>G24</f>
        <v/>
      </c>
    </row>
    <row r="39">
      <c r="A39" t="inlineStr">
        <is>
          <t>Коэффициенты скопировать из полученного отчета в соответствующие ячейки,</t>
        </is>
      </c>
      <c r="J39" s="86">
        <f>A25</f>
        <v/>
      </c>
      <c r="K39" s="87">
        <f>D25</f>
        <v/>
      </c>
      <c r="L39" s="87">
        <f>E25</f>
        <v/>
      </c>
      <c r="M39" s="88">
        <f>F25</f>
        <v/>
      </c>
      <c r="N39" s="89">
        <f>G25</f>
        <v/>
      </c>
    </row>
    <row r="40">
      <c r="A40" t="inlineStr">
        <is>
          <t>округлить до 2-х знаков после запятой</t>
        </is>
      </c>
      <c r="J40" s="86">
        <f>A26</f>
        <v/>
      </c>
      <c r="K40" s="87">
        <f>D26</f>
        <v/>
      </c>
      <c r="L40" s="87">
        <f>E26</f>
        <v/>
      </c>
      <c r="M40" s="88">
        <f>F26</f>
        <v/>
      </c>
      <c r="N40" s="89">
        <f>G26</f>
        <v/>
      </c>
    </row>
    <row r="41" ht="13.5" customHeight="1" s="49" thickBot="1">
      <c r="J41" s="86">
        <f>A27</f>
        <v/>
      </c>
      <c r="K41" s="87">
        <f>D27</f>
        <v/>
      </c>
      <c r="L41" s="87">
        <f>E27</f>
        <v/>
      </c>
      <c r="M41" s="88">
        <f>F27</f>
        <v/>
      </c>
      <c r="N41" s="89">
        <f>G27</f>
        <v/>
      </c>
    </row>
    <row r="42" ht="29.45" customHeight="1" s="49" thickBot="1">
      <c r="A42" s="25" t="inlineStr">
        <is>
          <t>Коэффициенты регрессии</t>
        </is>
      </c>
      <c r="B42" s="26" t="inlineStr">
        <is>
          <t>a</t>
        </is>
      </c>
      <c r="C42" s="27" t="inlineStr">
        <is>
          <t>b</t>
        </is>
      </c>
      <c r="J42" s="86">
        <f>A28</f>
        <v/>
      </c>
      <c r="K42" s="87">
        <f>D28</f>
        <v/>
      </c>
      <c r="L42" s="87">
        <f>E28</f>
        <v/>
      </c>
      <c r="M42" s="88">
        <f>F28</f>
        <v/>
      </c>
      <c r="N42" s="89">
        <f>G28</f>
        <v/>
      </c>
    </row>
    <row r="43" ht="14.25" customHeight="1" s="49">
      <c r="A43" s="28" t="inlineStr">
        <is>
          <t>Значение</t>
        </is>
      </c>
      <c r="B43" s="90">
        <f>ROUND(K17,2)</f>
        <v/>
      </c>
      <c r="C43" s="91">
        <f>ROUND(K18,2)</f>
        <v/>
      </c>
      <c r="J43" s="86">
        <f>A29</f>
        <v/>
      </c>
      <c r="K43" s="87">
        <f>D29</f>
        <v/>
      </c>
      <c r="L43" s="87">
        <f>E29</f>
        <v/>
      </c>
      <c r="M43" s="88">
        <f>F29</f>
        <v/>
      </c>
      <c r="N43" s="89">
        <f>G29</f>
        <v/>
      </c>
    </row>
    <row r="44" ht="22" customHeight="1" s="49">
      <c r="A44" s="31" t="inlineStr">
        <is>
          <t>Уравнение регрессии</t>
        </is>
      </c>
      <c r="B44" s="92">
        <f>CONCATENATE("y = ",TEXT(B43,"0.00"),IF(C43&lt;0," − "," + "),TEXT(ABS(C43),"0.00"),"·x")</f>
        <v/>
      </c>
      <c r="C44" s="77" t="n"/>
      <c r="D44" s="77" t="n"/>
      <c r="E44" s="77" t="n"/>
      <c r="F44" s="77" t="n"/>
      <c r="G44" s="77" t="n"/>
      <c r="H44" s="77" t="n"/>
      <c r="I44" s="73" t="n"/>
      <c r="J44" s="86">
        <f>A30</f>
        <v/>
      </c>
      <c r="K44" s="87">
        <f>D30</f>
        <v/>
      </c>
      <c r="L44" s="87">
        <f>E30</f>
        <v/>
      </c>
      <c r="M44" s="88">
        <f>F30</f>
        <v/>
      </c>
      <c r="N44" s="89">
        <f>G30</f>
        <v/>
      </c>
    </row>
    <row r="45">
      <c r="J45" s="86">
        <f>A31</f>
        <v/>
      </c>
      <c r="K45" s="87">
        <f>D31</f>
        <v/>
      </c>
      <c r="L45" s="87">
        <f>E31</f>
        <v/>
      </c>
      <c r="M45" s="88">
        <f>F31</f>
        <v/>
      </c>
      <c r="N45" s="89">
        <f>G31</f>
        <v/>
      </c>
    </row>
    <row r="46" ht="12.75" customHeight="1" s="49">
      <c r="A46" s="58" t="inlineStr">
        <is>
          <t>Записать (коротко)</t>
        </is>
      </c>
      <c r="J46" s="86">
        <f>A32</f>
        <v/>
      </c>
      <c r="K46" s="87">
        <f>D32</f>
        <v/>
      </c>
      <c r="L46" s="87">
        <f>E32</f>
        <v/>
      </c>
      <c r="M46" s="88">
        <f>F32</f>
        <v/>
      </c>
      <c r="N46" s="89">
        <f>G32</f>
        <v/>
      </c>
    </row>
    <row r="47" ht="56" customHeight="1" s="49">
      <c r="A47" s="95">
        <f>"1) Экономический смысл найденного коэффициента a: a = "&amp;TEXT(B43,"0.00")&amp;" шт. — расчётное количество чебуреков при нулевой цене (свободный член). Цена 0 руб. лежит вне интервала наблюдений (около 8,25–13,91 руб.), поэтому a не является прогнозом бесплатной раздачи: это точка пересечения линии регрессии с осью Y."</f>
        <v/>
      </c>
      <c r="B47" s="77" t="n"/>
      <c r="C47" s="77" t="n"/>
      <c r="D47" s="77" t="n"/>
      <c r="E47" s="77" t="n"/>
      <c r="F47" s="77" t="n"/>
      <c r="G47" s="77" t="n"/>
      <c r="H47" s="77" t="n"/>
      <c r="I47" s="73" t="n"/>
      <c r="J47" s="86">
        <f>A33</f>
        <v/>
      </c>
      <c r="K47" s="87">
        <f>D33</f>
        <v/>
      </c>
      <c r="L47" s="87">
        <f>E33</f>
        <v/>
      </c>
      <c r="M47" s="88">
        <f>F33</f>
        <v/>
      </c>
      <c r="N47" s="89">
        <f>G33</f>
        <v/>
      </c>
    </row>
    <row r="48" ht="48" customHeight="1" s="49">
      <c r="A48" s="95">
        <f>"2) Экономический смысл найденного коэффициента b: b = "&amp;TEXT(C43,"0.00")&amp;". При увеличении цены на 1 рубль объём продаж в среднем снижается на "&amp;TEXT(ABS(C43),"0.00")&amp;" штук. Отрицательный знак соответствует закону спроса."</f>
        <v/>
      </c>
      <c r="B48" s="77" t="n"/>
      <c r="C48" s="77" t="n"/>
      <c r="D48" s="77" t="n"/>
      <c r="E48" s="77" t="n"/>
      <c r="F48" s="77" t="n"/>
      <c r="G48" s="77" t="n"/>
      <c r="H48" s="77" t="n"/>
      <c r="I48" s="73" t="n"/>
      <c r="J48" s="86">
        <f>A34</f>
        <v/>
      </c>
      <c r="K48" s="87">
        <f>D34</f>
        <v/>
      </c>
      <c r="L48" s="87">
        <f>E34</f>
        <v/>
      </c>
      <c r="M48" s="88">
        <f>F34</f>
        <v/>
      </c>
      <c r="N48" s="89">
        <f>G34</f>
        <v/>
      </c>
    </row>
    <row r="49" ht="13.5" customHeight="1" s="49" thickBot="1">
      <c r="J49" s="86">
        <f>A35</f>
        <v/>
      </c>
      <c r="K49" s="87">
        <f>D35</f>
        <v/>
      </c>
      <c r="L49" s="87">
        <f>E35</f>
        <v/>
      </c>
      <c r="M49" s="88">
        <f>F35</f>
        <v/>
      </c>
      <c r="N49" s="89">
        <f>G35</f>
        <v/>
      </c>
    </row>
    <row r="50" ht="13.5" customFormat="1" customHeight="1" s="24" thickTop="1">
      <c r="A50" s="23" t="inlineStr">
        <is>
          <t>2. Проанализировать доверительные интервалы для коэффициентов регрессии:</t>
        </is>
      </c>
    </row>
    <row r="51" ht="32" customHeight="1" s="49" thickBot="1">
      <c r="J51" s="85" t="inlineStr">
        <is>
          <t>Критерий выброса: |стандартный остаток| &gt; 2, где стандартный остаток = остаток / стандартная ошибка регрессии S. Правило двух сигм, как в отчёте «Регрессия» Excel.</t>
        </is>
      </c>
      <c r="K51" s="77" t="n"/>
      <c r="L51" s="77" t="n"/>
      <c r="M51" s="77" t="n"/>
      <c r="N51" s="77" t="n"/>
      <c r="O51" s="77" t="n"/>
      <c r="P51" s="73" t="n"/>
    </row>
    <row r="52" ht="24.75" customHeight="1" s="49" thickBot="1">
      <c r="A52" s="25" t="inlineStr">
        <is>
          <t>Коэффициенты регрессии</t>
        </is>
      </c>
      <c r="B52" s="26" t="inlineStr">
        <is>
          <t>a</t>
        </is>
      </c>
      <c r="C52" s="27" t="inlineStr">
        <is>
          <t>b</t>
        </is>
      </c>
      <c r="J52" s="74" t="inlineStr">
        <is>
          <t>Количество статистических выбросов</t>
        </is>
      </c>
      <c r="K52" s="76">
        <f>COUNTIF(G12:G35,"да")</f>
        <v/>
      </c>
    </row>
    <row r="53" ht="14.25" customHeight="1" s="49">
      <c r="A53" s="31" t="inlineStr">
        <is>
          <t>Нижняя граница</t>
        </is>
      </c>
      <c r="B53" s="96">
        <f>ROUND(O17,2)</f>
        <v/>
      </c>
      <c r="C53" s="97">
        <f>ROUND(O18,2)</f>
        <v/>
      </c>
    </row>
    <row r="54" ht="24" customHeight="1" s="49">
      <c r="A54" s="31" t="inlineStr">
        <is>
          <t>Верхняя граница</t>
        </is>
      </c>
      <c r="B54" s="96">
        <f>ROUND(P17,2)</f>
        <v/>
      </c>
      <c r="C54" s="97">
        <f>ROUND(P18,2)</f>
        <v/>
      </c>
    </row>
    <row r="56" ht="12.75" customHeight="1" s="49">
      <c r="A56" s="58" t="inlineStr">
        <is>
          <t>Записать (коротко)</t>
        </is>
      </c>
    </row>
    <row r="57" ht="44" customHeight="1" s="49">
      <c r="A57" s="95">
        <f>"1) Экономический смысл границ доверительного интервала коэффициента a: с вероятностью 95% истинное значение a находится от "&amp;TEXT(B53,"0.00")&amp;" до "&amp;TEXT(B54,"0.00")&amp;". Интервал не содержит нуля, свободный член статистически значим."</f>
        <v/>
      </c>
      <c r="B57" s="77" t="n"/>
      <c r="C57" s="77" t="n"/>
      <c r="D57" s="77" t="n"/>
      <c r="E57" s="77" t="n"/>
      <c r="F57" s="77" t="n"/>
      <c r="G57" s="77" t="n"/>
      <c r="H57" s="77" t="n"/>
      <c r="I57" s="73" t="n"/>
    </row>
    <row r="58" ht="48" customHeight="1" s="49">
      <c r="A58" s="95">
        <f>"2) Экономический смысл границ доверительного интервала коэффициента b: с вероятностью 95% рост цены на 1 рубль снижает продажи на величину от "&amp;TEXT(ABS(C54),"0.00")&amp;" до "&amp;TEXT(ABS(C53),"0.00")&amp;" штук. Весь интервал ниже нуля, отрицательная связь значима."</f>
        <v/>
      </c>
      <c r="B58" s="77" t="n"/>
      <c r="C58" s="77" t="n"/>
      <c r="D58" s="77" t="n"/>
      <c r="E58" s="77" t="n"/>
      <c r="F58" s="77" t="n"/>
      <c r="G58" s="77" t="n"/>
      <c r="H58" s="77" t="n"/>
      <c r="I58" s="73" t="n"/>
    </row>
    <row r="59" ht="13.5" customHeight="1" s="49" thickBot="1"/>
    <row r="60" ht="13.5" customFormat="1" customHeight="1" s="24" thickTop="1">
      <c r="A60" s="23" t="inlineStr">
        <is>
          <t>3.Проверить достоверность найденных коэффициентов:</t>
        </is>
      </c>
    </row>
    <row r="61" ht="13.5" customHeight="1" s="49" thickBot="1"/>
    <row r="62" ht="24.75" customHeight="1" s="49" thickBot="1">
      <c r="A62" s="25" t="inlineStr">
        <is>
          <t>Коэффициенты регрессии</t>
        </is>
      </c>
      <c r="B62" s="26" t="inlineStr">
        <is>
          <t>a</t>
        </is>
      </c>
      <c r="C62" s="27" t="inlineStr">
        <is>
          <t>b</t>
        </is>
      </c>
    </row>
    <row r="63" ht="14.25" customHeight="1" s="49">
      <c r="A63" s="31" t="inlineStr">
        <is>
          <t>Р-значение</t>
        </is>
      </c>
      <c r="B63" s="98">
        <f>N17</f>
        <v/>
      </c>
      <c r="C63" s="99">
        <f>N18</f>
        <v/>
      </c>
    </row>
    <row r="64" ht="37.5" customHeight="1" s="49" thickBot="1">
      <c r="A64" s="35" t="inlineStr">
        <is>
          <t>Вывод (достоверен/ недостоверен)</t>
        </is>
      </c>
      <c r="B64" s="100">
        <f>IF(ABS(M17)&gt;$K$20,"достоверен","недостоверен")</f>
        <v/>
      </c>
      <c r="C64" s="101">
        <f>IF(ABS(M18)&gt;$K$20,"достоверен","недостоверен")</f>
        <v/>
      </c>
    </row>
    <row r="65" ht="36" customHeight="1" s="49" thickBot="1">
      <c r="A65" s="102">
        <f>"Проверка t-критерием при α = 5%: tкр = "&amp;TEXT($K$20,"0.00")&amp;". Для a: t = "&amp;TEXT(M17,"0.00")&amp;" → "&amp;B64&amp;". Для b: t = "&amp;TEXT(M18,"0.00")&amp;" → "&amp;C64&amp;". Выводы t-критерия и p-value совпадают: оба коэффициента достоверны."</f>
        <v/>
      </c>
      <c r="B65" s="77" t="n"/>
      <c r="C65" s="77" t="n"/>
      <c r="D65" s="77" t="n"/>
      <c r="E65" s="77" t="n"/>
      <c r="F65" s="77" t="n"/>
      <c r="G65" s="77" t="n"/>
      <c r="H65" s="77" t="n"/>
      <c r="I65" s="73" t="n"/>
    </row>
    <row r="66" ht="13.5" customFormat="1" customHeight="1" s="24" thickTop="1">
      <c r="A66" s="23" t="inlineStr">
        <is>
          <t>4. Определить тесноту связи в уравнении регресии:</t>
        </is>
      </c>
    </row>
    <row r="67" ht="13.5" customHeight="1" s="49" thickBot="1"/>
    <row r="68" ht="24" customHeight="1" s="49">
      <c r="A68" s="28" t="inlineStr">
        <is>
          <t>Коэффициент корреляции</t>
        </is>
      </c>
      <c r="B68" s="103">
        <f>K22</f>
        <v/>
      </c>
    </row>
    <row r="69" ht="30" customHeight="1" s="49">
      <c r="A69" s="37" t="inlineStr">
        <is>
          <t>Связь (тесная/слабая)</t>
        </is>
      </c>
      <c r="B69" s="104">
        <f>IF(ABS(B68)&gt;=0.7,IF(B68&lt;0,"тесная (обратная)","тесная"),IF(ABS(B68)&gt;=0.3,"заметная","слабая"))</f>
        <v/>
      </c>
    </row>
    <row r="70" ht="36" customHeight="1" s="49" thickBot="1">
      <c r="A70" s="102">
        <f>"Оценка тесноты по шкале Чеддока: |r| ≥ 0,7 — тесная связь, 0,5–0,7 — заметная, 0,3–0,5 — умеренная, ниже 0,3 — слабая. Здесь r = "&amp;TEXT(B68,"0.0000")&amp;", связь тесная и обратная."</f>
        <v/>
      </c>
      <c r="B70" s="77" t="n"/>
      <c r="C70" s="77" t="n"/>
      <c r="D70" s="77" t="n"/>
      <c r="E70" s="77" t="n"/>
      <c r="F70" s="77" t="n"/>
      <c r="G70" s="77" t="n"/>
      <c r="H70" s="77" t="n"/>
      <c r="I70" s="73" t="n"/>
    </row>
    <row r="71" ht="30.75" customHeight="1" s="49">
      <c r="A71" s="28" t="inlineStr">
        <is>
          <t xml:space="preserve">Коэф.  детерминации </t>
        </is>
      </c>
      <c r="B71" s="103">
        <f>K5</f>
        <v/>
      </c>
    </row>
    <row r="74">
      <c r="A74" s="58" t="inlineStr">
        <is>
          <t>Записать (коротко)</t>
        </is>
      </c>
    </row>
    <row r="75" ht="48" customHeight="1" s="49">
      <c r="A75" s="95">
        <f>"Экономический смысл найденного коэффициента детерминации: R² = "&amp;TEXT(B71,"0.00%")&amp;" означает, что изменение цены объясняет "&amp;TEXT(B71,"0.00%")&amp;" вариации объёма продаж. Остальные "&amp;TEXT(1-B71,"0.00%")&amp;" приходятся на факторы, не включённые в модель."</f>
        <v/>
      </c>
      <c r="B75" s="77" t="n"/>
      <c r="C75" s="77" t="n"/>
      <c r="D75" s="77" t="n"/>
      <c r="E75" s="77" t="n"/>
      <c r="F75" s="77" t="n"/>
      <c r="G75" s="77" t="n"/>
      <c r="H75" s="77" t="n"/>
      <c r="I75" s="73" t="n"/>
    </row>
    <row r="76" ht="13.5" customHeight="1" s="49" thickBot="1"/>
    <row r="77" ht="13.5" customFormat="1" customHeight="1" s="24" thickTop="1">
      <c r="A77" s="23" t="inlineStr">
        <is>
          <t xml:space="preserve">5. Проверить достаточность наблюдений: </t>
        </is>
      </c>
    </row>
    <row r="79" ht="14.25" customHeight="1" s="49">
      <c r="A79" s="31" t="inlineStr">
        <is>
          <t>Значимость F</t>
        </is>
      </c>
      <c r="B79" s="105">
        <f>O12</f>
        <v/>
      </c>
    </row>
    <row r="80" ht="45.75" customHeight="1" s="49" thickBot="1">
      <c r="A80" s="35" t="inlineStr">
        <is>
          <t>Вывод (достаточно/ недостаточно)</t>
        </is>
      </c>
      <c r="B80" s="106">
        <f>IF(B79&lt;0.05,"достаточно","недостаточно")</f>
        <v/>
      </c>
    </row>
    <row r="81" ht="36" customHeight="1" s="49" thickBot="1">
      <c r="A81" s="102">
        <f>"Модель в целом значима: F = "&amp;TEXT(N12,"0.00")&amp;" &gt; Fкр = "&amp;TEXT(P12,"0.00")&amp;", значимость F = "&amp;TEXT(B79,"0.00E+00")&amp;" &lt; 0,05. Наблюдений достаточно, чтобы выявленная зависимость не была случайной."</f>
        <v/>
      </c>
      <c r="B81" s="77" t="n"/>
      <c r="C81" s="77" t="n"/>
      <c r="D81" s="77" t="n"/>
      <c r="E81" s="77" t="n"/>
      <c r="F81" s="77" t="n"/>
      <c r="G81" s="77" t="n"/>
      <c r="H81" s="77" t="n"/>
      <c r="I81" s="73" t="n"/>
    </row>
    <row r="82" ht="13.5" customFormat="1" customHeight="1" s="24" thickTop="1">
      <c r="A82" s="23" t="inlineStr">
        <is>
          <t>6. Определить наличие статистических  выбросов:</t>
        </is>
      </c>
    </row>
    <row r="84" ht="24" customHeight="1" s="49">
      <c r="A84" s="31" t="inlineStr">
        <is>
          <t>Кол-во стат.выбросов</t>
        </is>
      </c>
      <c r="B84" s="107">
        <f>K52</f>
        <v/>
      </c>
    </row>
    <row r="85" ht="40" customHeight="1" s="49">
      <c r="A85" s="102">
        <f>"Критерий статистического выброса: |стандартный остаток e/S| &gt; 2 (правило двух сигм; S — стандартная ошибка регрессии). Количество выбросов: "&amp;TEXT(B84,"0")&amp;". Ни одно из 24 наблюдений порог не превышает, максимальный |e/S| меньше 2."</f>
        <v/>
      </c>
      <c r="B85" s="77" t="n"/>
      <c r="C85" s="77" t="n"/>
      <c r="D85" s="77" t="n"/>
      <c r="E85" s="77" t="n"/>
      <c r="F85" s="77" t="n"/>
      <c r="G85" s="77" t="n"/>
      <c r="H85" s="77" t="n"/>
      <c r="I85" s="73" t="n"/>
    </row>
    <row r="86" ht="13.5" customHeight="1" s="49" thickBot="1"/>
    <row r="87" ht="13.5" customFormat="1" customHeight="1" s="24" thickTop="1">
      <c r="A87" s="23" t="inlineStr">
        <is>
          <t>7. Построить график сравнения Уфакт. И Утеор.</t>
        </is>
      </c>
    </row>
    <row r="88" s="49">
      <c r="A88" s="41" t="n"/>
    </row>
    <row r="89" s="49">
      <c r="A89" s="41" t="n"/>
    </row>
    <row r="90" s="49">
      <c r="A90" s="41" t="n"/>
    </row>
    <row r="91" s="49">
      <c r="A91" s="41" t="n"/>
    </row>
    <row r="92" s="49">
      <c r="A92" s="41" t="n"/>
    </row>
    <row r="93" s="49">
      <c r="A93" s="41" t="n"/>
    </row>
    <row r="94" s="49">
      <c r="A94" s="41" t="n"/>
    </row>
    <row r="95" s="49">
      <c r="A95" s="41" t="n"/>
    </row>
    <row r="96" s="49">
      <c r="A96" s="41" t="n"/>
    </row>
    <row r="97" s="49">
      <c r="A97" s="41" t="n"/>
    </row>
    <row r="98" s="49">
      <c r="A98" s="41" t="n"/>
    </row>
    <row r="99" s="49">
      <c r="A99" s="41" t="n"/>
    </row>
    <row r="100" s="49">
      <c r="A100" s="41" t="n"/>
    </row>
    <row r="101" s="49">
      <c r="A101" s="41" t="n"/>
    </row>
    <row r="102" s="49">
      <c r="A102" s="41" t="n"/>
    </row>
    <row r="103" s="49">
      <c r="A103" s="41" t="n"/>
    </row>
    <row r="104" s="49">
      <c r="A104" s="41" t="n"/>
    </row>
    <row r="105" s="49">
      <c r="A105" s="41" t="n"/>
    </row>
    <row r="106" ht="13.5" customHeight="1" s="49" thickBot="1"/>
    <row r="107" ht="13.5" customFormat="1" customHeight="1" s="24" thickTop="1">
      <c r="A107" s="23" t="inlineStr">
        <is>
          <t xml:space="preserve">Ответьте на следующие вопросы: </t>
        </is>
      </c>
    </row>
    <row r="109" ht="36" customHeight="1" s="49">
      <c r="A109" s="102">
        <f>"1) На сколько в среднем падают объемы проданных чебуреков с ростом цены на 1 рубль? В среднем на "&amp;TEXT(ABS(C43),"0.00")&amp;" штук (коэффициент b)."</f>
        <v/>
      </c>
      <c r="B109" s="77" t="n"/>
      <c r="C109" s="77" t="n"/>
      <c r="D109" s="77" t="n"/>
      <c r="E109" s="77" t="n"/>
      <c r="F109" s="77" t="n"/>
      <c r="G109" s="77" t="n"/>
      <c r="H109" s="77" t="n"/>
      <c r="I109" s="73" t="n"/>
      <c r="J109" s="43" t="n"/>
      <c r="K109" s="43" t="n"/>
      <c r="L109" s="43" t="n"/>
    </row>
    <row r="110" ht="15" customHeight="1" s="49">
      <c r="A110" s="43" t="n"/>
      <c r="B110" s="43" t="n"/>
      <c r="C110" s="43" t="n"/>
      <c r="D110" s="43" t="n"/>
      <c r="E110" s="43" t="n"/>
      <c r="F110" s="43" t="n"/>
      <c r="G110" s="43" t="n"/>
      <c r="H110" s="43" t="n"/>
      <c r="I110" s="43" t="n"/>
      <c r="J110" s="43" t="n"/>
      <c r="K110" s="43" t="n"/>
      <c r="L110" s="43" t="n"/>
    </row>
    <row r="111" ht="52" customHeight="1" s="49">
      <c r="A111" s="102">
        <f>"2) Как изменятся объемы продаж при увеличении цены чебурека на 1 рубль в лучшем случае, в худшем случае? В лучшем случае для чебуречной (наименьшее падение, верхняя граница 95% ДИ) продажи снизятся на "&amp;TEXT(ABS(C54),"0.00")&amp;" шт. В худшем случае (наибольшее падение, нижняя граница ДИ) — на "&amp;TEXT(ABS(C53),"0.00")&amp;" шт."</f>
        <v/>
      </c>
      <c r="B111" s="77" t="n"/>
      <c r="C111" s="77" t="n"/>
      <c r="D111" s="77" t="n"/>
      <c r="E111" s="77" t="n"/>
      <c r="F111" s="77" t="n"/>
      <c r="G111" s="77" t="n"/>
      <c r="H111" s="77" t="n"/>
      <c r="I111" s="73" t="n"/>
      <c r="J111" s="43" t="n"/>
      <c r="K111" s="43" t="n"/>
      <c r="L111" s="43" t="n"/>
    </row>
    <row r="112" ht="15" customHeight="1" s="49">
      <c r="A112" s="43" t="n"/>
      <c r="B112" s="43" t="n"/>
      <c r="C112" s="43" t="n"/>
      <c r="D112" s="43" t="n"/>
      <c r="E112" s="43" t="n"/>
      <c r="F112" s="43" t="n"/>
      <c r="G112" s="43" t="n"/>
      <c r="H112" s="43" t="n"/>
      <c r="I112" s="43" t="n"/>
      <c r="J112" s="43" t="n"/>
      <c r="K112" s="43" t="n"/>
      <c r="L112" s="43" t="n"/>
    </row>
    <row r="113" ht="30" customHeight="1" s="49">
      <c r="A113" s="102">
        <f>"3) Сколько % изменения объемов продаж объясняется изменением цены? "&amp;TEXT(B71,"0.00%")&amp;"."</f>
        <v/>
      </c>
      <c r="B113" s="77" t="n"/>
      <c r="C113" s="77" t="n"/>
      <c r="D113" s="77" t="n"/>
      <c r="E113" s="77" t="n"/>
      <c r="F113" s="77" t="n"/>
      <c r="G113" s="77" t="n"/>
      <c r="H113" s="77" t="n"/>
      <c r="I113" s="73" t="n"/>
      <c r="J113" s="43" t="n"/>
      <c r="K113" s="43" t="n"/>
      <c r="L113" s="43" t="n"/>
    </row>
    <row r="114" ht="15" customHeight="1" s="49">
      <c r="A114" s="43" t="n"/>
      <c r="B114" s="43" t="n"/>
      <c r="C114" s="43" t="n"/>
      <c r="D114" s="43" t="n"/>
      <c r="E114" s="43" t="n"/>
      <c r="F114" s="43" t="n"/>
      <c r="G114" s="43" t="n"/>
      <c r="H114" s="43" t="n"/>
      <c r="I114" s="43" t="n"/>
      <c r="J114" s="43" t="n"/>
      <c r="K114" s="43" t="n"/>
      <c r="L114" s="43" t="n"/>
    </row>
    <row r="115" ht="36" customHeight="1" s="49">
      <c r="A115" s="102">
        <f>"4) Сколько % изменения объемов продаж объясняется изменением нерассматриваемых в модели факторов? "&amp;TEXT(1-B71,"0.00%")&amp;"."</f>
        <v/>
      </c>
      <c r="B115" s="77" t="n"/>
      <c r="C115" s="77" t="n"/>
      <c r="D115" s="77" t="n"/>
      <c r="E115" s="77" t="n"/>
      <c r="F115" s="77" t="n"/>
      <c r="G115" s="77" t="n"/>
      <c r="H115" s="77" t="n"/>
      <c r="I115" s="73" t="n"/>
      <c r="J115" s="43" t="n"/>
      <c r="K115" s="43" t="n"/>
      <c r="L115" s="43" t="n"/>
    </row>
    <row r="116" ht="15" customHeight="1" s="49">
      <c r="A116" s="43" t="n"/>
      <c r="B116" s="43" t="n"/>
      <c r="C116" s="43" t="n"/>
      <c r="D116" s="43" t="n"/>
      <c r="E116" s="43" t="n"/>
      <c r="F116" s="43" t="n"/>
      <c r="G116" s="43" t="n"/>
      <c r="H116" s="43" t="n"/>
      <c r="I116" s="43" t="n"/>
      <c r="J116" s="43" t="n"/>
      <c r="K116" s="43" t="n"/>
      <c r="L116" s="43" t="n"/>
    </row>
    <row r="117" ht="44" customHeight="1" s="49">
      <c r="A117" s="102">
        <f>"5) Привести пример факторов, которые можно было дополнительно учесть в данной модели? День недели и сезон, погода, реклама и акции, проходимость точки, цены и близость конкурентов, время работы и ассортимент."</f>
        <v/>
      </c>
      <c r="B117" s="77" t="n"/>
      <c r="C117" s="77" t="n"/>
      <c r="D117" s="77" t="n"/>
      <c r="E117" s="77" t="n"/>
      <c r="F117" s="77" t="n"/>
      <c r="G117" s="77" t="n"/>
      <c r="H117" s="77" t="n"/>
      <c r="I117" s="73" t="n"/>
      <c r="J117" s="43" t="n"/>
      <c r="K117" s="43" t="n"/>
      <c r="L117" s="43" t="n"/>
    </row>
    <row r="118" ht="15" customHeight="1" s="49">
      <c r="A118" s="43" t="n"/>
      <c r="B118" s="43" t="n"/>
      <c r="C118" s="43" t="n"/>
      <c r="D118" s="43" t="n"/>
      <c r="E118" s="43" t="n"/>
      <c r="F118" s="43" t="n"/>
      <c r="G118" s="43" t="n"/>
      <c r="H118" s="43" t="n"/>
      <c r="I118" s="43" t="n"/>
      <c r="J118" s="43" t="n"/>
      <c r="K118" s="43" t="n"/>
      <c r="L118" s="43" t="n"/>
    </row>
    <row r="119" ht="56" customHeight="1" s="49">
      <c r="A119" s="102">
        <f>"6) Можно ли использовать данную модель для прогнозов? Да. Значимость F "&amp;TEXT(B79,"0.00E+00")&amp;" &lt; 0,05, оба коэффициента достоверны, связь тесная, R² = "&amp;TEXT(B71,"0.00%")&amp;", статистических выбросов нет. Прогноз корректен внутри диапазона наблюдаемых цен (примерно 8,3–13,9 руб.). Цена 10 руб. в этот диапазон входит."</f>
        <v/>
      </c>
      <c r="B119" s="77" t="n"/>
      <c r="C119" s="77" t="n"/>
      <c r="D119" s="77" t="n"/>
      <c r="E119" s="77" t="n"/>
      <c r="F119" s="77" t="n"/>
      <c r="G119" s="77" t="n"/>
      <c r="H119" s="77" t="n"/>
      <c r="I119" s="73" t="n"/>
      <c r="J119" s="43" t="n"/>
      <c r="K119" s="43" t="n"/>
      <c r="L119" s="43" t="n"/>
    </row>
    <row r="120" ht="15" customHeight="1" s="49">
      <c r="A120" s="43" t="n"/>
      <c r="B120" s="43" t="n"/>
      <c r="C120" s="43" t="n"/>
      <c r="D120" s="43" t="n"/>
      <c r="E120" s="43" t="n"/>
      <c r="F120" s="43" t="n"/>
      <c r="G120" s="43" t="n"/>
      <c r="H120" s="43" t="n"/>
      <c r="I120" s="43" t="n"/>
      <c r="J120" s="43" t="n"/>
      <c r="K120" s="43" t="n"/>
      <c r="L120" s="43" t="n"/>
    </row>
    <row r="121" ht="40" customHeight="1" s="49">
      <c r="A121" s="102">
        <f>"7) Каковы будут средние объемы продаж чебуреков по цене 10 рублей? Ŷ(10) = a + b·10 = "&amp;TEXT($K$17+$K$18*10,"0.00")&amp;" штук. Расчёт выполнен по неокруглённым коэффициентам."</f>
        <v/>
      </c>
      <c r="B121" s="77" t="n"/>
      <c r="C121" s="77" t="n"/>
      <c r="D121" s="77" t="n"/>
      <c r="E121" s="77" t="n"/>
      <c r="F121" s="77" t="n"/>
      <c r="G121" s="77" t="n"/>
      <c r="H121" s="77" t="n"/>
      <c r="I121" s="73" t="n"/>
      <c r="J121" s="43" t="n"/>
      <c r="K121" s="43" t="n"/>
      <c r="L121" s="43" t="n"/>
    </row>
    <row r="122" ht="15" customHeight="1" s="49">
      <c r="A122" s="43" t="n"/>
      <c r="B122" s="43" t="n"/>
      <c r="C122" s="43" t="n"/>
      <c r="D122" s="43" t="n"/>
      <c r="E122" s="43" t="n"/>
      <c r="F122" s="43" t="n"/>
      <c r="G122" s="43" t="n"/>
      <c r="H122" s="43" t="n"/>
      <c r="I122" s="43" t="n"/>
      <c r="J122" s="43" t="n"/>
      <c r="K122" s="43" t="n"/>
      <c r="L122" s="43" t="n"/>
    </row>
    <row r="123" ht="60" customHeight="1" s="49">
      <c r="A123" s="102">
        <f>"8) Проанализировать объемы продаж на 8-й неделе, были ли они выше/ниже ожидаемых объемов? Значительно или нет? Факт: "&amp;TEXT(C19,"0.00")&amp;" шт., по модели: "&amp;TEXT(D19,"0.00")&amp;" шт. Продажи ниже ожидаемых на "&amp;TEXT(D19-C19,"0.00")&amp;" шт. Стандартный остаток = "&amp;TEXT(F19,"0.00")&amp;". По модулю он намного меньше 2, отклонение небольшое и выбросом не является."</f>
        <v/>
      </c>
      <c r="B123" s="77" t="n"/>
      <c r="C123" s="77" t="n"/>
      <c r="D123" s="77" t="n"/>
      <c r="E123" s="77" t="n"/>
      <c r="F123" s="77" t="n"/>
      <c r="G123" s="77" t="n"/>
      <c r="H123" s="77" t="n"/>
      <c r="I123" s="73" t="n"/>
      <c r="J123" s="43" t="n"/>
      <c r="K123" s="43" t="n"/>
      <c r="L123" s="43" t="n"/>
    </row>
  </sheetData>
  <mergeCells count="29">
    <mergeCell ref="A65:I65"/>
    <mergeCell ref="A75:I75"/>
    <mergeCell ref="J21:P21"/>
    <mergeCell ref="J51:P51"/>
    <mergeCell ref="J2:P2"/>
    <mergeCell ref="A57:I57"/>
    <mergeCell ref="A113:I113"/>
    <mergeCell ref="A47:I47"/>
    <mergeCell ref="A85:I85"/>
    <mergeCell ref="J24:N24"/>
    <mergeCell ref="A46:B46"/>
    <mergeCell ref="A74:B74"/>
    <mergeCell ref="A56:B56"/>
    <mergeCell ref="A109:I109"/>
    <mergeCell ref="J10:P10"/>
    <mergeCell ref="J1:P1"/>
    <mergeCell ref="A81:I81"/>
    <mergeCell ref="B44:I44"/>
    <mergeCell ref="A121:I121"/>
    <mergeCell ref="A115:I115"/>
    <mergeCell ref="A117:I117"/>
    <mergeCell ref="A111:I111"/>
    <mergeCell ref="A58:I58"/>
    <mergeCell ref="A48:I48"/>
    <mergeCell ref="J3:K3"/>
    <mergeCell ref="J20"/>
    <mergeCell ref="A123:I123"/>
    <mergeCell ref="A70:I70"/>
    <mergeCell ref="A119:I119"/>
  </mergeCells>
  <conditionalFormatting sqref="G12:G35">
    <cfRule type="cellIs" priority="1" operator="equal" dxfId="0">
      <formula>"да"</formula>
    </cfRule>
  </conditionalFormatting>
  <conditionalFormatting sqref="N26:N49">
    <cfRule type="cellIs" priority="2" operator="equal" dxfId="0">
      <formula>"да"</formula>
    </cfRule>
  </conditionalFormatting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selection activeCell="C1" sqref="C1"/>
    </sheetView>
  </sheetViews>
  <sheetFormatPr baseColWidth="8" defaultRowHeight="12.75"/>
  <cols>
    <col width="42" customWidth="1" style="49" min="1" max="1"/>
    <col width="14.5703125" customWidth="1" style="49" min="2" max="2"/>
    <col width="25.5703125" customWidth="1" style="49" min="3" max="4"/>
    <col width="16" customWidth="1" style="49" min="4" max="4"/>
    <col width="21.5703125" customWidth="1" style="49" min="5" max="5"/>
    <col width="21.5703125" customWidth="1" style="21" min="6" max="6"/>
    <col width="12" customWidth="1" style="49" min="7" max="7"/>
    <col width="8" customWidth="1" style="49" min="8" max="8"/>
    <col width="52" customWidth="1" style="49" min="10" max="10"/>
    <col width="20" customWidth="1" style="49" min="11" max="11"/>
    <col width="22" customWidth="1" style="49" min="12" max="12"/>
    <col width="16" customWidth="1" style="49" min="13" max="13"/>
    <col width="16" customWidth="1" style="49" min="14" max="14"/>
    <col width="18" customWidth="1" style="49" min="15" max="15"/>
    <col width="18" customWidth="1" style="49" min="16" max="16"/>
  </cols>
  <sheetData>
    <row r="1" ht="24" customHeight="1" s="49">
      <c r="A1" s="1" t="inlineStr">
        <is>
          <t>Вариант</t>
        </is>
      </c>
      <c r="B1" s="1" t="n"/>
      <c r="C1" s="10" t="n">
        <v>7</v>
      </c>
      <c r="J1" s="70" t="inlineStr">
        <is>
          <t>ВЫВОД ИТОГОВ</t>
        </is>
      </c>
    </row>
    <row r="2" ht="32" customHeight="1" s="49">
      <c r="J2" s="71" t="inlineStr">
        <is>
          <t>Множественная линейная регрессия. Y — цена, у.е.; X1 — срок эксплуатации, лет; X2 — пробег, км. Уровень доверия 95%, уровень значимости 5%.</t>
        </is>
      </c>
    </row>
    <row r="3">
      <c r="A3" s="41" t="inlineStr">
        <is>
          <t xml:space="preserve">      Менеджер салона, специализирующегося на торговле автомобилями </t>
        </is>
      </c>
      <c r="J3" s="72" t="inlineStr">
        <is>
          <t>Регрессионная статистика</t>
        </is>
      </c>
      <c r="K3" s="73" t="n"/>
    </row>
    <row r="4">
      <c r="A4" s="41" t="inlineStr">
        <is>
          <t xml:space="preserve">на вторичном рынке, хочет иметь более точное представление об ожидаемой </t>
        </is>
      </c>
      <c r="J4" s="74" t="inlineStr">
        <is>
          <t>Множественный R</t>
        </is>
      </c>
      <c r="K4" s="75">
        <f>SQRT(K5)</f>
        <v/>
      </c>
    </row>
    <row r="5">
      <c r="A5" s="41" t="inlineStr">
        <is>
          <t xml:space="preserve">цене. Для определения приемлемой цены он регулярно просматривает </t>
        </is>
      </c>
      <c r="J5" s="74" t="inlineStr">
        <is>
          <t>R-квадрат</t>
        </is>
      </c>
      <c r="K5" s="75">
        <f>INDEX(LINEST($A$18:$A$61,$B$18:$C$61,TRUE,TRUE),3,1)</f>
        <v/>
      </c>
    </row>
    <row r="6">
      <c r="A6" s="41" t="inlineStr">
        <is>
          <t>объявления о продаже автомобилей в газете "Из рук в руки". В результате</t>
        </is>
      </c>
      <c r="J6" s="74" t="inlineStr">
        <is>
          <t>Нормированный R-квадрат</t>
        </is>
      </c>
      <c r="K6" s="75">
        <f>1-(1-K5)*(K8-1)/(K8-K12-1)</f>
        <v/>
      </c>
    </row>
    <row r="7">
      <c r="A7" s="41" t="inlineStr">
        <is>
          <t>менеджер приходит к выводу, что наибольшее влияние на цену оказывают</t>
        </is>
      </c>
      <c r="J7" s="74" t="inlineStr">
        <is>
          <t>Стандартная ошибка</t>
        </is>
      </c>
      <c r="K7" s="75">
        <f>INDEX(LINEST($A$18:$A$61,$B$18:$C$61,TRUE,TRUE),3,2)</f>
        <v/>
      </c>
    </row>
    <row r="8">
      <c r="A8" s="41" t="inlineStr">
        <is>
          <t>возраст автомобиля и срок его эксплуатации, при условии, что марки прода-.</t>
        </is>
      </c>
      <c r="J8" s="74" t="inlineStr">
        <is>
          <t>Наблюдения</t>
        </is>
      </c>
      <c r="K8" s="76">
        <f>COUNT(A18:A61)</f>
        <v/>
      </c>
    </row>
    <row r="9">
      <c r="A9" s="41" t="inlineStr">
        <is>
          <t>ваемых автомобилей достаточно близки.</t>
        </is>
      </c>
    </row>
    <row r="10">
      <c r="A10" s="41" t="inlineStr">
        <is>
          <t>Постороить зависимость цены автомобиля от его пробега и срока эксплуатации.</t>
        </is>
      </c>
      <c r="J10" s="72" t="inlineStr">
        <is>
          <t>Дисперсионный анализ</t>
        </is>
      </c>
      <c r="K10" s="77" t="n"/>
      <c r="L10" s="77" t="n"/>
      <c r="M10" s="77" t="n"/>
      <c r="N10" s="77" t="n"/>
      <c r="O10" s="77" t="n"/>
      <c r="P10" s="73" t="n"/>
    </row>
    <row r="11">
      <c r="A11" s="56" t="inlineStr">
        <is>
          <t>результаты анализа выводить в столбце J</t>
        </is>
      </c>
      <c r="K11" s="78" t="inlineStr">
        <is>
          <t>df</t>
        </is>
      </c>
      <c r="L11" s="78" t="inlineStr">
        <is>
          <t>SS</t>
        </is>
      </c>
      <c r="M11" s="78" t="inlineStr">
        <is>
          <t>MS</t>
        </is>
      </c>
      <c r="N11" s="78" t="inlineStr">
        <is>
          <t>F</t>
        </is>
      </c>
      <c r="O11" s="78" t="inlineStr">
        <is>
          <t>Значимость F</t>
        </is>
      </c>
      <c r="P11" s="78" t="inlineStr">
        <is>
          <t>F критическое</t>
        </is>
      </c>
    </row>
    <row r="12">
      <c r="A12" s="41" t="inlineStr">
        <is>
          <t>Определить достоверность параметров регрессии и интервал их изменения. Проверить</t>
        </is>
      </c>
      <c r="J12" s="74" t="inlineStr">
        <is>
          <t>Регрессия</t>
        </is>
      </c>
      <c r="K12" s="76">
        <f>COLUMNS(B18:C61)</f>
        <v/>
      </c>
      <c r="L12" s="82">
        <f>K5*L14</f>
        <v/>
      </c>
      <c r="M12" s="82">
        <f>L12/K12</f>
        <v/>
      </c>
      <c r="N12" s="83">
        <f>M12/M13</f>
        <v/>
      </c>
      <c r="O12" s="84">
        <f>FDIST(N12,K12,K13)</f>
        <v/>
      </c>
      <c r="P12" s="83">
        <f>FINV(0.05,K12,K13)</f>
        <v/>
      </c>
    </row>
    <row r="13">
      <c r="A13" s="41" t="inlineStr">
        <is>
          <t>тесноту связи в построенном уравнении регрессии и достаточность наблюдений.</t>
        </is>
      </c>
      <c r="J13" s="74" t="inlineStr">
        <is>
          <t>Остаток</t>
        </is>
      </c>
      <c r="K13" s="76">
        <f>K8-K12-1</f>
        <v/>
      </c>
      <c r="L13" s="82">
        <f>L14-L12</f>
        <v/>
      </c>
      <c r="M13" s="82">
        <f>L13/K13</f>
        <v/>
      </c>
    </row>
    <row r="14">
      <c r="A14" s="41" t="inlineStr">
        <is>
          <t>Проанализировать имеющиеся статистические выбросы.</t>
        </is>
      </c>
      <c r="J14" s="74" t="inlineStr">
        <is>
          <t>Итого</t>
        </is>
      </c>
      <c r="K14" s="76">
        <f>K8-1</f>
        <v/>
      </c>
      <c r="L14" s="82">
        <f>DEVSQ(A18:A61)</f>
        <v/>
      </c>
    </row>
    <row r="15">
      <c r="A15" s="41" t="inlineStr">
        <is>
          <t xml:space="preserve"> Собранная менеджером статистика имеет вид:</t>
        </is>
      </c>
    </row>
    <row r="16" ht="13.5" customHeight="1" s="49" thickBot="1">
      <c r="J16" s="78" t="inlineStr"/>
      <c r="K16" s="78" t="inlineStr">
        <is>
          <t>Коэффициенты</t>
        </is>
      </c>
      <c r="L16" s="78" t="inlineStr">
        <is>
          <t>Стандартная ошибка</t>
        </is>
      </c>
      <c r="M16" s="78" t="inlineStr">
        <is>
          <t>t-статистика</t>
        </is>
      </c>
      <c r="N16" s="78" t="inlineStr">
        <is>
          <t>P-Значение</t>
        </is>
      </c>
      <c r="O16" s="78" t="inlineStr">
        <is>
          <t>Нижние 95%</t>
        </is>
      </c>
      <c r="P16" s="78" t="inlineStr">
        <is>
          <t>Верхние 95%</t>
        </is>
      </c>
    </row>
    <row r="17" ht="19.5" customHeight="1" s="49" thickBot="1">
      <c r="A17" s="50" t="inlineStr">
        <is>
          <t>Цена автомобиля (у.е.)</t>
        </is>
      </c>
      <c r="B17" s="4" t="inlineStr">
        <is>
          <t>Срок эксплуатации (лет)</t>
        </is>
      </c>
      <c r="C17" s="5" t="inlineStr">
        <is>
          <t>Пробег (км)</t>
        </is>
      </c>
      <c r="D17" s="78" t="inlineStr">
        <is>
          <t>Yтеор</t>
        </is>
      </c>
      <c r="E17" s="78" t="inlineStr">
        <is>
          <t>Остаток</t>
        </is>
      </c>
      <c r="F17" s="78" t="inlineStr">
        <is>
          <t>Стандартный остаток</t>
        </is>
      </c>
      <c r="G17" s="78" t="inlineStr">
        <is>
          <t>Выброс</t>
        </is>
      </c>
      <c r="H17" s="78" t="inlineStr">
        <is>
          <t>№</t>
        </is>
      </c>
      <c r="J17" s="74" t="inlineStr">
        <is>
          <t>Y-пересечение (a)</t>
        </is>
      </c>
      <c r="K17" s="75">
        <f>INDEX(LINEST($A$18:$A$61,$B$18:$C$61,TRUE,TRUE),1,3)</f>
        <v/>
      </c>
      <c r="L17" s="75">
        <f>INDEX(LINEST($A$18:$A$61,$B$18:$C$61,TRUE,TRUE),2,3)</f>
        <v/>
      </c>
      <c r="M17" s="83">
        <f>K17/L17</f>
        <v/>
      </c>
      <c r="N17" s="84">
        <f>TDIST(ABS(M17),$K$13,2)</f>
        <v/>
      </c>
      <c r="O17" s="75">
        <f>K17-TINV(0.05,$K$13)*L17</f>
        <v/>
      </c>
      <c r="P17" s="75">
        <f>K17+TINV(0.05,$K$13)*L17</f>
        <v/>
      </c>
    </row>
    <row r="18">
      <c r="A18" s="51" t="n">
        <v>15915</v>
      </c>
      <c r="B18" s="8" t="n">
        <v>6</v>
      </c>
      <c r="C18" s="52" t="n">
        <v>9400</v>
      </c>
      <c r="D18" s="79">
        <f>$K$17+$K$18*B18+$K$19*C18</f>
        <v/>
      </c>
      <c r="E18" s="79">
        <f>A18-D18</f>
        <v/>
      </c>
      <c r="F18" s="80">
        <f>IF($K$7=0,"",E18/$K$7)</f>
        <v/>
      </c>
      <c r="G18" s="81">
        <f>IF(ABS(F18)&gt;2,"да","нет")</f>
        <v/>
      </c>
      <c r="H18" s="108">
        <f>1</f>
        <v/>
      </c>
      <c r="J18" s="74" t="inlineStr">
        <is>
          <t>Переменная X 1 (b1, срок эксплуатации, лет)</t>
        </is>
      </c>
      <c r="K18" s="75">
        <f>INDEX(LINEST($A$18:$A$61,$B$18:$C$61,TRUE,TRUE),1,2)</f>
        <v/>
      </c>
      <c r="L18" s="75">
        <f>INDEX(LINEST($A$18:$A$61,$B$18:$C$61,TRUE,TRUE),2,2)</f>
        <v/>
      </c>
      <c r="M18" s="83">
        <f>K18/L18</f>
        <v/>
      </c>
      <c r="N18" s="84">
        <f>TDIST(ABS(M18),$K$13,2)</f>
        <v/>
      </c>
      <c r="O18" s="75">
        <f>K18-TINV(0.05,$K$13)*L18</f>
        <v/>
      </c>
      <c r="P18" s="75">
        <f>K18+TINV(0.05,$K$13)*L18</f>
        <v/>
      </c>
    </row>
    <row r="19">
      <c r="A19" s="53" t="n">
        <v>21105</v>
      </c>
      <c r="B19" s="7" t="n">
        <v>3</v>
      </c>
      <c r="C19" s="52" t="n">
        <v>5700</v>
      </c>
      <c r="D19" s="79">
        <f>$K$17+$K$18*B19+$K$19*C19</f>
        <v/>
      </c>
      <c r="E19" s="79">
        <f>A19-D19</f>
        <v/>
      </c>
      <c r="F19" s="80">
        <f>IF($K$7=0,"",E19/$K$7)</f>
        <v/>
      </c>
      <c r="G19" s="81">
        <f>IF(ABS(F19)&gt;2,"да","нет")</f>
        <v/>
      </c>
      <c r="H19" s="108">
        <f>2</f>
        <v/>
      </c>
      <c r="J19" s="74" t="inlineStr">
        <is>
          <t>Переменная X 2 (b2, пробег, км)</t>
        </is>
      </c>
      <c r="K19" s="75">
        <f>INDEX(LINEST($A$18:$A$61,$B$18:$C$61,TRUE,TRUE),1,1)</f>
        <v/>
      </c>
      <c r="L19" s="75">
        <f>INDEX(LINEST($A$18:$A$61,$B$18:$C$61,TRUE,TRUE),2,1)</f>
        <v/>
      </c>
      <c r="M19" s="83">
        <f>K19/L19</f>
        <v/>
      </c>
      <c r="N19" s="84">
        <f>TDIST(ABS(M19),$K$13,2)</f>
        <v/>
      </c>
      <c r="O19" s="75">
        <f>K19-TINV(0.05,$K$13)*L19</f>
        <v/>
      </c>
      <c r="P19" s="75">
        <f>K19+TINV(0.05,$K$13)*L19</f>
        <v/>
      </c>
    </row>
    <row r="20">
      <c r="A20" s="53" t="n">
        <v>13548</v>
      </c>
      <c r="B20" s="7" t="n">
        <v>7</v>
      </c>
      <c r="C20" s="52" t="n">
        <v>10300</v>
      </c>
      <c r="D20" s="79">
        <f>$K$17+$K$18*B20+$K$19*C20</f>
        <v/>
      </c>
      <c r="E20" s="79">
        <f>A20-D20</f>
        <v/>
      </c>
      <c r="F20" s="80">
        <f>IF($K$7=0,"",E20/$K$7)</f>
        <v/>
      </c>
      <c r="G20" s="81">
        <f>IF(ABS(F20)&gt;2,"да","нет")</f>
        <v/>
      </c>
      <c r="H20" s="108">
        <f>3</f>
        <v/>
      </c>
    </row>
    <row r="21">
      <c r="A21" s="53" t="n">
        <v>13663</v>
      </c>
      <c r="B21" s="7" t="n">
        <v>7</v>
      </c>
      <c r="C21" s="52" t="n">
        <v>10300</v>
      </c>
      <c r="D21" s="79">
        <f>$K$17+$K$18*B21+$K$19*C21</f>
        <v/>
      </c>
      <c r="E21" s="79">
        <f>A21-D21</f>
        <v/>
      </c>
      <c r="F21" s="80">
        <f>IF($K$7=0,"",E21/$K$7)</f>
        <v/>
      </c>
      <c r="G21" s="81">
        <f>IF(ABS(F21)&gt;2,"да","нет")</f>
        <v/>
      </c>
      <c r="H21" s="108">
        <f>4</f>
        <v/>
      </c>
      <c r="J21" s="74" t="inlineStr">
        <is>
          <t>t-критическое (двустороннее, α = 0,05)</t>
        </is>
      </c>
      <c r="K21" s="75">
        <f>TINV(0.05,K13)</f>
        <v/>
      </c>
    </row>
    <row r="22">
      <c r="A22" s="53" t="n">
        <v>4293</v>
      </c>
      <c r="B22" s="7" t="n">
        <v>14</v>
      </c>
      <c r="C22" s="52" t="n">
        <v>16600</v>
      </c>
      <c r="D22" s="79">
        <f>$K$17+$K$18*B22+$K$19*C22</f>
        <v/>
      </c>
      <c r="E22" s="79">
        <f>A22-D22</f>
        <v/>
      </c>
      <c r="F22" s="80">
        <f>IF($K$7=0,"",E22/$K$7)</f>
        <v/>
      </c>
      <c r="G22" s="81">
        <f>IF(ABS(F22)&gt;2,"да","нет")</f>
        <v/>
      </c>
      <c r="H22" s="108">
        <f>5</f>
        <v/>
      </c>
      <c r="J22" s="85" t="inlineStr">
        <is>
          <t>Коэффициент достоверен, если |t| &gt; tкр (равносильно P &lt; 0,05).</t>
        </is>
      </c>
      <c r="K22" s="77" t="n"/>
      <c r="L22" s="77" t="n"/>
      <c r="M22" s="77" t="n"/>
      <c r="N22" s="77" t="n"/>
      <c r="O22" s="77" t="n"/>
      <c r="P22" s="73" t="n"/>
    </row>
    <row r="23">
      <c r="A23" s="53" t="n">
        <v>16867</v>
      </c>
      <c r="B23" s="7" t="n">
        <v>5</v>
      </c>
      <c r="C23" s="52" t="n">
        <v>10500</v>
      </c>
      <c r="D23" s="79">
        <f>$K$17+$K$18*B23+$K$19*C23</f>
        <v/>
      </c>
      <c r="E23" s="79">
        <f>A23-D23</f>
        <v/>
      </c>
      <c r="F23" s="80">
        <f>IF($K$7=0,"",E23/$K$7)</f>
        <v/>
      </c>
      <c r="G23" s="81">
        <f>IF(ABS(F23)&gt;2,"да","нет")</f>
        <v/>
      </c>
      <c r="H23" s="108">
        <f>6</f>
        <v/>
      </c>
    </row>
    <row r="24">
      <c r="A24" s="53" t="n">
        <v>17646</v>
      </c>
      <c r="B24" s="7" t="n">
        <v>5</v>
      </c>
      <c r="C24" s="52" t="n">
        <v>8500</v>
      </c>
      <c r="D24" s="79">
        <f>$K$17+$K$18*B24+$K$19*C24</f>
        <v/>
      </c>
      <c r="E24" s="79">
        <f>A24-D24</f>
        <v/>
      </c>
      <c r="F24" s="80">
        <f>IF($K$7=0,"",E24/$K$7)</f>
        <v/>
      </c>
      <c r="G24" s="81">
        <f>IF(ABS(F24)&gt;2,"да","нет")</f>
        <v/>
      </c>
      <c r="H24" s="108">
        <f>7</f>
        <v/>
      </c>
      <c r="J24" s="72" t="inlineStr">
        <is>
          <t>ВЫВОД ОСТАТКОВ</t>
        </is>
      </c>
      <c r="K24" s="77" t="n"/>
      <c r="L24" s="77" t="n"/>
      <c r="M24" s="77" t="n"/>
      <c r="N24" s="73" t="n"/>
    </row>
    <row r="25">
      <c r="A25" s="53" t="n">
        <v>4131</v>
      </c>
      <c r="B25" s="7" t="n">
        <v>15</v>
      </c>
      <c r="C25" s="52" t="n">
        <v>15500</v>
      </c>
      <c r="D25" s="79">
        <f>$K$17+$K$18*B25+$K$19*C25</f>
        <v/>
      </c>
      <c r="E25" s="79">
        <f>A25-D25</f>
        <v/>
      </c>
      <c r="F25" s="80">
        <f>IF($K$7=0,"",E25/$K$7)</f>
        <v/>
      </c>
      <c r="G25" s="81">
        <f>IF(ABS(F25)&gt;2,"да","нет")</f>
        <v/>
      </c>
      <c r="H25" s="108">
        <f>8</f>
        <v/>
      </c>
      <c r="J25" s="78" t="inlineStr">
        <is>
          <t>Наблюдение</t>
        </is>
      </c>
      <c r="K25" s="78" t="inlineStr">
        <is>
          <t>Предсказанное Y</t>
        </is>
      </c>
      <c r="L25" s="78" t="inlineStr">
        <is>
          <t>Остатки</t>
        </is>
      </c>
      <c r="M25" s="78" t="inlineStr">
        <is>
          <t>Стандартные остатки</t>
        </is>
      </c>
      <c r="N25" s="78" t="inlineStr">
        <is>
          <t>Выброс</t>
        </is>
      </c>
    </row>
    <row r="26">
      <c r="A26" s="53" t="n">
        <v>4110</v>
      </c>
      <c r="B26" s="7" t="n">
        <v>15</v>
      </c>
      <c r="C26" s="52" t="n">
        <v>17500</v>
      </c>
      <c r="D26" s="79">
        <f>$K$17+$K$18*B26+$K$19*C26</f>
        <v/>
      </c>
      <c r="E26" s="79">
        <f>A26-D26</f>
        <v/>
      </c>
      <c r="F26" s="80">
        <f>IF($K$7=0,"",E26/$K$7)</f>
        <v/>
      </c>
      <c r="G26" s="81">
        <f>IF(ABS(F26)&gt;2,"да","нет")</f>
        <v/>
      </c>
      <c r="H26" s="108">
        <f>9</f>
        <v/>
      </c>
      <c r="J26" s="86">
        <f>1</f>
        <v/>
      </c>
      <c r="K26" s="87">
        <f>D18</f>
        <v/>
      </c>
      <c r="L26" s="87">
        <f>E18</f>
        <v/>
      </c>
      <c r="M26" s="88">
        <f>F18</f>
        <v/>
      </c>
      <c r="N26" s="89">
        <f>G18</f>
        <v/>
      </c>
    </row>
    <row r="27">
      <c r="A27" s="53" t="n">
        <v>4902</v>
      </c>
      <c r="B27" s="7" t="n">
        <v>13</v>
      </c>
      <c r="C27" s="52" t="n">
        <v>14700</v>
      </c>
      <c r="D27" s="79">
        <f>$K$17+$K$18*B27+$K$19*C27</f>
        <v/>
      </c>
      <c r="E27" s="79">
        <f>A27-D27</f>
        <v/>
      </c>
      <c r="F27" s="80">
        <f>IF($K$7=0,"",E27/$K$7)</f>
        <v/>
      </c>
      <c r="G27" s="81">
        <f>IF(ABS(F27)&gt;2,"да","нет")</f>
        <v/>
      </c>
      <c r="H27" s="108">
        <f>10</f>
        <v/>
      </c>
      <c r="J27" s="86">
        <f>2</f>
        <v/>
      </c>
      <c r="K27" s="87">
        <f>D19</f>
        <v/>
      </c>
      <c r="L27" s="87">
        <f>E19</f>
        <v/>
      </c>
      <c r="M27" s="88">
        <f>F19</f>
        <v/>
      </c>
      <c r="N27" s="89">
        <f>G19</f>
        <v/>
      </c>
    </row>
    <row r="28">
      <c r="A28" s="53" t="n">
        <v>12609</v>
      </c>
      <c r="B28" s="7" t="n">
        <v>7</v>
      </c>
      <c r="C28" s="52" t="n">
        <v>11300</v>
      </c>
      <c r="D28" s="79">
        <f>$K$17+$K$18*B28+$K$19*C28</f>
        <v/>
      </c>
      <c r="E28" s="79">
        <f>A28-D28</f>
        <v/>
      </c>
      <c r="F28" s="80">
        <f>IF($K$7=0,"",E28/$K$7)</f>
        <v/>
      </c>
      <c r="G28" s="81">
        <f>IF(ABS(F28)&gt;2,"да","нет")</f>
        <v/>
      </c>
      <c r="H28" s="108">
        <f>11</f>
        <v/>
      </c>
      <c r="J28" s="86">
        <f>3</f>
        <v/>
      </c>
      <c r="K28" s="87">
        <f>D20</f>
        <v/>
      </c>
      <c r="L28" s="87">
        <f>E20</f>
        <v/>
      </c>
      <c r="M28" s="88">
        <f>F20</f>
        <v/>
      </c>
      <c r="N28" s="89">
        <f>G20</f>
        <v/>
      </c>
    </row>
    <row r="29">
      <c r="A29" s="53" t="n">
        <v>19015</v>
      </c>
      <c r="B29" s="7" t="n">
        <v>3</v>
      </c>
      <c r="C29" s="52" t="n">
        <v>8700</v>
      </c>
      <c r="D29" s="79">
        <f>$K$17+$K$18*B29+$K$19*C29</f>
        <v/>
      </c>
      <c r="E29" s="79">
        <f>A29-D29</f>
        <v/>
      </c>
      <c r="F29" s="80">
        <f>IF($K$7=0,"",E29/$K$7)</f>
        <v/>
      </c>
      <c r="G29" s="81">
        <f>IF(ABS(F29)&gt;2,"да","нет")</f>
        <v/>
      </c>
      <c r="H29" s="108">
        <f>12</f>
        <v/>
      </c>
      <c r="J29" s="86">
        <f>4</f>
        <v/>
      </c>
      <c r="K29" s="87">
        <f>D21</f>
        <v/>
      </c>
      <c r="L29" s="87">
        <f>E21</f>
        <v/>
      </c>
      <c r="M29" s="88">
        <f>F21</f>
        <v/>
      </c>
      <c r="N29" s="89">
        <f>G21</f>
        <v/>
      </c>
    </row>
    <row r="30">
      <c r="A30" s="53" t="n">
        <v>11613</v>
      </c>
      <c r="B30" s="7" t="n">
        <v>9</v>
      </c>
      <c r="C30" s="52" t="n">
        <v>10100</v>
      </c>
      <c r="D30" s="79">
        <f>$K$17+$K$18*B30+$K$19*C30</f>
        <v/>
      </c>
      <c r="E30" s="79">
        <f>A30-D30</f>
        <v/>
      </c>
      <c r="F30" s="80">
        <f>IF($K$7=0,"",E30/$K$7)</f>
        <v/>
      </c>
      <c r="G30" s="81">
        <f>IF(ABS(F30)&gt;2,"да","нет")</f>
        <v/>
      </c>
      <c r="H30" s="108">
        <f>13</f>
        <v/>
      </c>
      <c r="J30" s="86">
        <f>5</f>
        <v/>
      </c>
      <c r="K30" s="87">
        <f>D22</f>
        <v/>
      </c>
      <c r="L30" s="87">
        <f>E22</f>
        <v/>
      </c>
      <c r="M30" s="88">
        <f>F22</f>
        <v/>
      </c>
      <c r="N30" s="89">
        <f>G22</f>
        <v/>
      </c>
    </row>
    <row r="31">
      <c r="A31" s="53" t="n">
        <v>9800</v>
      </c>
      <c r="B31" s="7" t="n">
        <v>11</v>
      </c>
      <c r="C31" s="52" t="n">
        <v>11900</v>
      </c>
      <c r="D31" s="79">
        <f>$K$17+$K$18*B31+$K$19*C31</f>
        <v/>
      </c>
      <c r="E31" s="79">
        <f>A31-D31</f>
        <v/>
      </c>
      <c r="F31" s="80">
        <f>IF($K$7=0,"",E31/$K$7)</f>
        <v/>
      </c>
      <c r="G31" s="81">
        <f>IF(ABS(F31)&gt;2,"да","нет")</f>
        <v/>
      </c>
      <c r="H31" s="108">
        <f>14</f>
        <v/>
      </c>
      <c r="J31" s="86">
        <f>6</f>
        <v/>
      </c>
      <c r="K31" s="87">
        <f>D23</f>
        <v/>
      </c>
      <c r="L31" s="87">
        <f>E23</f>
        <v/>
      </c>
      <c r="M31" s="88">
        <f>F23</f>
        <v/>
      </c>
      <c r="N31" s="89">
        <f>G23</f>
        <v/>
      </c>
    </row>
    <row r="32">
      <c r="A32" s="53" t="n">
        <v>10312</v>
      </c>
      <c r="B32" s="7" t="n">
        <v>10</v>
      </c>
      <c r="C32" s="52" t="n">
        <v>14000</v>
      </c>
      <c r="D32" s="79">
        <f>$K$17+$K$18*B32+$K$19*C32</f>
        <v/>
      </c>
      <c r="E32" s="79">
        <f>A32-D32</f>
        <v/>
      </c>
      <c r="F32" s="80">
        <f>IF($K$7=0,"",E32/$K$7)</f>
        <v/>
      </c>
      <c r="G32" s="81">
        <f>IF(ABS(F32)&gt;2,"да","нет")</f>
        <v/>
      </c>
      <c r="H32" s="108">
        <f>15</f>
        <v/>
      </c>
      <c r="J32" s="86">
        <f>7</f>
        <v/>
      </c>
      <c r="K32" s="87">
        <f>D24</f>
        <v/>
      </c>
      <c r="L32" s="87">
        <f>E24</f>
        <v/>
      </c>
      <c r="M32" s="88">
        <f>F24</f>
        <v/>
      </c>
      <c r="N32" s="89">
        <f>G24</f>
        <v/>
      </c>
    </row>
    <row r="33">
      <c r="A33" s="53" t="n">
        <v>4182</v>
      </c>
      <c r="B33" s="7" t="n">
        <v>14</v>
      </c>
      <c r="C33" s="52" t="n">
        <v>16600</v>
      </c>
      <c r="D33" s="79">
        <f>$K$17+$K$18*B33+$K$19*C33</f>
        <v/>
      </c>
      <c r="E33" s="79">
        <f>A33-D33</f>
        <v/>
      </c>
      <c r="F33" s="80">
        <f>IF($K$7=0,"",E33/$K$7)</f>
        <v/>
      </c>
      <c r="G33" s="81">
        <f>IF(ABS(F33)&gt;2,"да","нет")</f>
        <v/>
      </c>
      <c r="H33" s="108">
        <f>16</f>
        <v/>
      </c>
      <c r="J33" s="86">
        <f>8</f>
        <v/>
      </c>
      <c r="K33" s="87">
        <f>D25</f>
        <v/>
      </c>
      <c r="L33" s="87">
        <f>E25</f>
        <v/>
      </c>
      <c r="M33" s="88">
        <f>F25</f>
        <v/>
      </c>
      <c r="N33" s="89">
        <f>G25</f>
        <v/>
      </c>
    </row>
    <row r="34">
      <c r="A34" s="53" t="n">
        <v>15302</v>
      </c>
      <c r="B34" s="7" t="n">
        <v>5</v>
      </c>
      <c r="C34" s="52" t="n">
        <v>9500</v>
      </c>
      <c r="D34" s="79">
        <f>$K$17+$K$18*B34+$K$19*C34</f>
        <v/>
      </c>
      <c r="E34" s="79">
        <f>A34-D34</f>
        <v/>
      </c>
      <c r="F34" s="80">
        <f>IF($K$7=0,"",E34/$K$7)</f>
        <v/>
      </c>
      <c r="G34" s="81">
        <f>IF(ABS(F34)&gt;2,"да","нет")</f>
        <v/>
      </c>
      <c r="H34" s="108">
        <f>17</f>
        <v/>
      </c>
      <c r="J34" s="86">
        <f>9</f>
        <v/>
      </c>
      <c r="K34" s="87">
        <f>D26</f>
        <v/>
      </c>
      <c r="L34" s="87">
        <f>E26</f>
        <v/>
      </c>
      <c r="M34" s="88">
        <f>F26</f>
        <v/>
      </c>
      <c r="N34" s="89">
        <f>G26</f>
        <v/>
      </c>
    </row>
    <row r="35">
      <c r="A35" s="53" t="n">
        <v>5459</v>
      </c>
      <c r="B35" s="7" t="n">
        <v>14</v>
      </c>
      <c r="C35" s="52" t="n">
        <v>16600</v>
      </c>
      <c r="D35" s="79">
        <f>$K$17+$K$18*B35+$K$19*C35</f>
        <v/>
      </c>
      <c r="E35" s="79">
        <f>A35-D35</f>
        <v/>
      </c>
      <c r="F35" s="80">
        <f>IF($K$7=0,"",E35/$K$7)</f>
        <v/>
      </c>
      <c r="G35" s="81">
        <f>IF(ABS(F35)&gt;2,"да","нет")</f>
        <v/>
      </c>
      <c r="H35" s="108">
        <f>18</f>
        <v/>
      </c>
      <c r="J35" s="86">
        <f>10</f>
        <v/>
      </c>
      <c r="K35" s="87">
        <f>D27</f>
        <v/>
      </c>
      <c r="L35" s="87">
        <f>E27</f>
        <v/>
      </c>
      <c r="M35" s="88">
        <f>F27</f>
        <v/>
      </c>
      <c r="N35" s="89">
        <f>G27</f>
        <v/>
      </c>
    </row>
    <row r="36">
      <c r="A36" s="53" t="n">
        <v>6040</v>
      </c>
      <c r="B36" s="7" t="n">
        <v>13</v>
      </c>
      <c r="C36" s="52" t="n">
        <v>14700</v>
      </c>
      <c r="D36" s="79">
        <f>$K$17+$K$18*B36+$K$19*C36</f>
        <v/>
      </c>
      <c r="E36" s="79">
        <f>A36-D36</f>
        <v/>
      </c>
      <c r="F36" s="80">
        <f>IF($K$7=0,"",E36/$K$7)</f>
        <v/>
      </c>
      <c r="G36" s="81">
        <f>IF(ABS(F36)&gt;2,"да","нет")</f>
        <v/>
      </c>
      <c r="H36" s="108">
        <f>19</f>
        <v/>
      </c>
      <c r="J36" s="86">
        <f>11</f>
        <v/>
      </c>
      <c r="K36" s="87">
        <f>D28</f>
        <v/>
      </c>
      <c r="L36" s="87">
        <f>E28</f>
        <v/>
      </c>
      <c r="M36" s="88">
        <f>F28</f>
        <v/>
      </c>
      <c r="N36" s="89">
        <f>G28</f>
        <v/>
      </c>
    </row>
    <row r="37">
      <c r="A37" s="53" t="n">
        <v>9912</v>
      </c>
      <c r="B37" s="7" t="n">
        <v>11</v>
      </c>
      <c r="C37" s="52" t="n">
        <v>12900</v>
      </c>
      <c r="D37" s="79">
        <f>$K$17+$K$18*B37+$K$19*C37</f>
        <v/>
      </c>
      <c r="E37" s="79">
        <f>A37-D37</f>
        <v/>
      </c>
      <c r="F37" s="80">
        <f>IF($K$7=0,"",E37/$K$7)</f>
        <v/>
      </c>
      <c r="G37" s="81">
        <f>IF(ABS(F37)&gt;2,"да","нет")</f>
        <v/>
      </c>
      <c r="H37" s="108">
        <f>20</f>
        <v/>
      </c>
      <c r="J37" s="86">
        <f>12</f>
        <v/>
      </c>
      <c r="K37" s="87">
        <f>D29</f>
        <v/>
      </c>
      <c r="L37" s="87">
        <f>E29</f>
        <v/>
      </c>
      <c r="M37" s="88">
        <f>F29</f>
        <v/>
      </c>
      <c r="N37" s="89">
        <f>G29</f>
        <v/>
      </c>
    </row>
    <row r="38">
      <c r="A38" s="53" t="n">
        <v>14017</v>
      </c>
      <c r="B38" s="7" t="n">
        <v>7</v>
      </c>
      <c r="C38" s="52" t="n">
        <v>9300</v>
      </c>
      <c r="D38" s="79">
        <f>$K$17+$K$18*B38+$K$19*C38</f>
        <v/>
      </c>
      <c r="E38" s="79">
        <f>A38-D38</f>
        <v/>
      </c>
      <c r="F38" s="80">
        <f>IF($K$7=0,"",E38/$K$7)</f>
        <v/>
      </c>
      <c r="G38" s="81">
        <f>IF(ABS(F38)&gt;2,"да","нет")</f>
        <v/>
      </c>
      <c r="H38" s="108">
        <f>21</f>
        <v/>
      </c>
      <c r="J38" s="86">
        <f>13</f>
        <v/>
      </c>
      <c r="K38" s="87">
        <f>D30</f>
        <v/>
      </c>
      <c r="L38" s="87">
        <f>E30</f>
        <v/>
      </c>
      <c r="M38" s="88">
        <f>F30</f>
        <v/>
      </c>
      <c r="N38" s="89">
        <f>G30</f>
        <v/>
      </c>
    </row>
    <row r="39">
      <c r="A39" s="53" t="n">
        <v>8885</v>
      </c>
      <c r="B39" s="7" t="n">
        <v>12</v>
      </c>
      <c r="C39" s="52" t="n">
        <v>13800</v>
      </c>
      <c r="D39" s="79">
        <f>$K$17+$K$18*B39+$K$19*C39</f>
        <v/>
      </c>
      <c r="E39" s="79">
        <f>A39-D39</f>
        <v/>
      </c>
      <c r="F39" s="80">
        <f>IF($K$7=0,"",E39/$K$7)</f>
        <v/>
      </c>
      <c r="G39" s="81">
        <f>IF(ABS(F39)&gt;2,"да","нет")</f>
        <v/>
      </c>
      <c r="H39" s="108">
        <f>22</f>
        <v/>
      </c>
      <c r="J39" s="86">
        <f>14</f>
        <v/>
      </c>
      <c r="K39" s="87">
        <f>D31</f>
        <v/>
      </c>
      <c r="L39" s="87">
        <f>E31</f>
        <v/>
      </c>
      <c r="M39" s="88">
        <f>F31</f>
        <v/>
      </c>
      <c r="N39" s="89">
        <f>G31</f>
        <v/>
      </c>
    </row>
    <row r="40">
      <c r="A40" s="53" t="n">
        <v>8097</v>
      </c>
      <c r="B40" s="7" t="n">
        <v>12</v>
      </c>
      <c r="C40" s="52" t="n">
        <v>13800</v>
      </c>
      <c r="D40" s="79">
        <f>$K$17+$K$18*B40+$K$19*C40</f>
        <v/>
      </c>
      <c r="E40" s="79">
        <f>A40-D40</f>
        <v/>
      </c>
      <c r="F40" s="80">
        <f>IF($K$7=0,"",E40/$K$7)</f>
        <v/>
      </c>
      <c r="G40" s="81">
        <f>IF(ABS(F40)&gt;2,"да","нет")</f>
        <v/>
      </c>
      <c r="H40" s="108">
        <f>23</f>
        <v/>
      </c>
      <c r="J40" s="86">
        <f>15</f>
        <v/>
      </c>
      <c r="K40" s="87">
        <f>D32</f>
        <v/>
      </c>
      <c r="L40" s="87">
        <f>E32</f>
        <v/>
      </c>
      <c r="M40" s="88">
        <f>F32</f>
        <v/>
      </c>
      <c r="N40" s="89">
        <f>G32</f>
        <v/>
      </c>
    </row>
    <row r="41">
      <c r="A41" s="53" t="n">
        <v>7645</v>
      </c>
      <c r="B41" s="7" t="n">
        <v>12</v>
      </c>
      <c r="C41" s="52" t="n">
        <v>14800</v>
      </c>
      <c r="D41" s="79">
        <f>$K$17+$K$18*B41+$K$19*C41</f>
        <v/>
      </c>
      <c r="E41" s="79">
        <f>A41-D41</f>
        <v/>
      </c>
      <c r="F41" s="80">
        <f>IF($K$7=0,"",E41/$K$7)</f>
        <v/>
      </c>
      <c r="G41" s="81">
        <f>IF(ABS(F41)&gt;2,"да","нет")</f>
        <v/>
      </c>
      <c r="H41" s="108">
        <f>24</f>
        <v/>
      </c>
      <c r="J41" s="86">
        <f>16</f>
        <v/>
      </c>
      <c r="K41" s="87">
        <f>D33</f>
        <v/>
      </c>
      <c r="L41" s="87">
        <f>E33</f>
        <v/>
      </c>
      <c r="M41" s="88">
        <f>F33</f>
        <v/>
      </c>
      <c r="N41" s="89">
        <f>G33</f>
        <v/>
      </c>
    </row>
    <row r="42">
      <c r="A42" s="53" t="n">
        <v>18963</v>
      </c>
      <c r="B42" s="7" t="n">
        <v>4</v>
      </c>
      <c r="C42" s="52" t="n">
        <v>6600</v>
      </c>
      <c r="D42" s="79">
        <f>$K$17+$K$18*B42+$K$19*C42</f>
        <v/>
      </c>
      <c r="E42" s="79">
        <f>A42-D42</f>
        <v/>
      </c>
      <c r="F42" s="80">
        <f>IF($K$7=0,"",E42/$K$7)</f>
        <v/>
      </c>
      <c r="G42" s="81">
        <f>IF(ABS(F42)&gt;2,"да","нет")</f>
        <v/>
      </c>
      <c r="H42" s="108">
        <f>25</f>
        <v/>
      </c>
      <c r="J42" s="86">
        <f>17</f>
        <v/>
      </c>
      <c r="K42" s="87">
        <f>D34</f>
        <v/>
      </c>
      <c r="L42" s="87">
        <f>E34</f>
        <v/>
      </c>
      <c r="M42" s="88">
        <f>F34</f>
        <v/>
      </c>
      <c r="N42" s="89">
        <f>G34</f>
        <v/>
      </c>
    </row>
    <row r="43">
      <c r="A43" s="53" t="n">
        <v>19265</v>
      </c>
      <c r="B43" s="7" t="n">
        <v>3</v>
      </c>
      <c r="C43" s="52" t="n">
        <v>6700</v>
      </c>
      <c r="D43" s="79">
        <f>$K$17+$K$18*B43+$K$19*C43</f>
        <v/>
      </c>
      <c r="E43" s="79">
        <f>A43-D43</f>
        <v/>
      </c>
      <c r="F43" s="80">
        <f>IF($K$7=0,"",E43/$K$7)</f>
        <v/>
      </c>
      <c r="G43" s="81">
        <f>IF(ABS(F43)&gt;2,"да","нет")</f>
        <v/>
      </c>
      <c r="H43" s="108">
        <f>26</f>
        <v/>
      </c>
      <c r="J43" s="86">
        <f>18</f>
        <v/>
      </c>
      <c r="K43" s="87">
        <f>D35</f>
        <v/>
      </c>
      <c r="L43" s="87">
        <f>E35</f>
        <v/>
      </c>
      <c r="M43" s="88">
        <f>F35</f>
        <v/>
      </c>
      <c r="N43" s="89">
        <f>G35</f>
        <v/>
      </c>
    </row>
    <row r="44">
      <c r="A44" s="53" t="n">
        <v>8242</v>
      </c>
      <c r="B44" s="7" t="n">
        <v>11</v>
      </c>
      <c r="C44" s="52" t="n">
        <v>11900</v>
      </c>
      <c r="D44" s="79">
        <f>$K$17+$K$18*B44+$K$19*C44</f>
        <v/>
      </c>
      <c r="E44" s="79">
        <f>A44-D44</f>
        <v/>
      </c>
      <c r="F44" s="80">
        <f>IF($K$7=0,"",E44/$K$7)</f>
        <v/>
      </c>
      <c r="G44" s="81">
        <f>IF(ABS(F44)&gt;2,"да","нет")</f>
        <v/>
      </c>
      <c r="H44" s="108">
        <f>27</f>
        <v/>
      </c>
      <c r="J44" s="86">
        <f>19</f>
        <v/>
      </c>
      <c r="K44" s="87">
        <f>D36</f>
        <v/>
      </c>
      <c r="L44" s="87">
        <f>E36</f>
        <v/>
      </c>
      <c r="M44" s="88">
        <f>F36</f>
        <v/>
      </c>
      <c r="N44" s="89">
        <f>G36</f>
        <v/>
      </c>
    </row>
    <row r="45">
      <c r="A45" s="53" t="n">
        <v>18677</v>
      </c>
      <c r="B45" s="7" t="n">
        <v>5</v>
      </c>
      <c r="C45" s="52" t="n">
        <v>8500</v>
      </c>
      <c r="D45" s="79">
        <f>$K$17+$K$18*B45+$K$19*C45</f>
        <v/>
      </c>
      <c r="E45" s="79">
        <f>A45-D45</f>
        <v/>
      </c>
      <c r="F45" s="80">
        <f>IF($K$7=0,"",E45/$K$7)</f>
        <v/>
      </c>
      <c r="G45" s="81">
        <f>IF(ABS(F45)&gt;2,"да","нет")</f>
        <v/>
      </c>
      <c r="H45" s="108">
        <f>28</f>
        <v/>
      </c>
      <c r="J45" s="86">
        <f>20</f>
        <v/>
      </c>
      <c r="K45" s="87">
        <f>D37</f>
        <v/>
      </c>
      <c r="L45" s="87">
        <f>E37</f>
        <v/>
      </c>
      <c r="M45" s="88">
        <f>F37</f>
        <v/>
      </c>
      <c r="N45" s="89">
        <f>G37</f>
        <v/>
      </c>
    </row>
    <row r="46">
      <c r="A46" s="53" t="n">
        <v>8567</v>
      </c>
      <c r="B46" s="7" t="n">
        <v>10</v>
      </c>
      <c r="C46" s="52" t="n">
        <v>13000</v>
      </c>
      <c r="D46" s="79">
        <f>$K$17+$K$18*B46+$K$19*C46</f>
        <v/>
      </c>
      <c r="E46" s="79">
        <f>A46-D46</f>
        <v/>
      </c>
      <c r="F46" s="80">
        <f>IF($K$7=0,"",E46/$K$7)</f>
        <v/>
      </c>
      <c r="G46" s="81">
        <f>IF(ABS(F46)&gt;2,"да","нет")</f>
        <v/>
      </c>
      <c r="H46" s="108">
        <f>29</f>
        <v/>
      </c>
      <c r="J46" s="86">
        <f>21</f>
        <v/>
      </c>
      <c r="K46" s="87">
        <f>D38</f>
        <v/>
      </c>
      <c r="L46" s="87">
        <f>E38</f>
        <v/>
      </c>
      <c r="M46" s="88">
        <f>F38</f>
        <v/>
      </c>
      <c r="N46" s="89">
        <f>G38</f>
        <v/>
      </c>
    </row>
    <row r="47">
      <c r="A47" s="53" t="n">
        <v>16953</v>
      </c>
      <c r="B47" s="7" t="n">
        <v>6</v>
      </c>
      <c r="C47" s="52" t="n">
        <v>8400</v>
      </c>
      <c r="D47" s="79">
        <f>$K$17+$K$18*B47+$K$19*C47</f>
        <v/>
      </c>
      <c r="E47" s="79">
        <f>A47-D47</f>
        <v/>
      </c>
      <c r="F47" s="80">
        <f>IF($K$7=0,"",E47/$K$7)</f>
        <v/>
      </c>
      <c r="G47" s="81">
        <f>IF(ABS(F47)&gt;2,"да","нет")</f>
        <v/>
      </c>
      <c r="H47" s="108">
        <f>30</f>
        <v/>
      </c>
      <c r="J47" s="86">
        <f>22</f>
        <v/>
      </c>
      <c r="K47" s="87">
        <f>D39</f>
        <v/>
      </c>
      <c r="L47" s="87">
        <f>E39</f>
        <v/>
      </c>
      <c r="M47" s="88">
        <f>F39</f>
        <v/>
      </c>
      <c r="N47" s="89">
        <f>G39</f>
        <v/>
      </c>
    </row>
    <row r="48">
      <c r="A48" s="53" t="n">
        <v>9021</v>
      </c>
      <c r="B48" s="7" t="n">
        <v>12</v>
      </c>
      <c r="C48" s="52" t="n">
        <v>12800</v>
      </c>
      <c r="D48" s="79">
        <f>$K$17+$K$18*B48+$K$19*C48</f>
        <v/>
      </c>
      <c r="E48" s="79">
        <f>A48-D48</f>
        <v/>
      </c>
      <c r="F48" s="80">
        <f>IF($K$7=0,"",E48/$K$7)</f>
        <v/>
      </c>
      <c r="G48" s="81">
        <f>IF(ABS(F48)&gt;2,"да","нет")</f>
        <v/>
      </c>
      <c r="H48" s="108">
        <f>31</f>
        <v/>
      </c>
      <c r="J48" s="86">
        <f>23</f>
        <v/>
      </c>
      <c r="K48" s="87">
        <f>D40</f>
        <v/>
      </c>
      <c r="L48" s="87">
        <f>E40</f>
        <v/>
      </c>
      <c r="M48" s="88">
        <f>F40</f>
        <v/>
      </c>
      <c r="N48" s="89">
        <f>G40</f>
        <v/>
      </c>
    </row>
    <row r="49">
      <c r="A49" s="53" t="n">
        <v>17653</v>
      </c>
      <c r="B49" s="7" t="n">
        <v>3</v>
      </c>
      <c r="C49" s="52" t="n">
        <v>8700</v>
      </c>
      <c r="D49" s="79">
        <f>$K$17+$K$18*B49+$K$19*C49</f>
        <v/>
      </c>
      <c r="E49" s="79">
        <f>A49-D49</f>
        <v/>
      </c>
      <c r="F49" s="80">
        <f>IF($K$7=0,"",E49/$K$7)</f>
        <v/>
      </c>
      <c r="G49" s="81">
        <f>IF(ABS(F49)&gt;2,"да","нет")</f>
        <v/>
      </c>
      <c r="H49" s="108">
        <f>32</f>
        <v/>
      </c>
      <c r="J49" s="86">
        <f>24</f>
        <v/>
      </c>
      <c r="K49" s="87">
        <f>D41</f>
        <v/>
      </c>
      <c r="L49" s="87">
        <f>E41</f>
        <v/>
      </c>
      <c r="M49" s="88">
        <f>F41</f>
        <v/>
      </c>
      <c r="N49" s="89">
        <f>G41</f>
        <v/>
      </c>
    </row>
    <row r="50">
      <c r="A50" s="53" t="n">
        <v>10196</v>
      </c>
      <c r="B50" s="7" t="n">
        <v>10</v>
      </c>
      <c r="C50" s="52" t="n">
        <v>13000</v>
      </c>
      <c r="D50" s="79">
        <f>$K$17+$K$18*B50+$K$19*C50</f>
        <v/>
      </c>
      <c r="E50" s="79">
        <f>A50-D50</f>
        <v/>
      </c>
      <c r="F50" s="80">
        <f>IF($K$7=0,"",E50/$K$7)</f>
        <v/>
      </c>
      <c r="G50" s="81">
        <f>IF(ABS(F50)&gt;2,"да","нет")</f>
        <v/>
      </c>
      <c r="H50" s="108">
        <f>33</f>
        <v/>
      </c>
      <c r="J50" s="86">
        <f>25</f>
        <v/>
      </c>
      <c r="K50" s="87">
        <f>D42</f>
        <v/>
      </c>
      <c r="L50" s="87">
        <f>E42</f>
        <v/>
      </c>
      <c r="M50" s="88">
        <f>F42</f>
        <v/>
      </c>
      <c r="N50" s="89">
        <f>G42</f>
        <v/>
      </c>
    </row>
    <row r="51">
      <c r="A51" s="53" t="n">
        <v>17759</v>
      </c>
      <c r="B51" s="7" t="n">
        <v>5</v>
      </c>
      <c r="C51" s="52" t="n">
        <v>9500</v>
      </c>
      <c r="D51" s="79">
        <f>$K$17+$K$18*B51+$K$19*C51</f>
        <v/>
      </c>
      <c r="E51" s="79">
        <f>A51-D51</f>
        <v/>
      </c>
      <c r="F51" s="80">
        <f>IF($K$7=0,"",E51/$K$7)</f>
        <v/>
      </c>
      <c r="G51" s="81">
        <f>IF(ABS(F51)&gt;2,"да","нет")</f>
        <v/>
      </c>
      <c r="H51" s="108">
        <f>34</f>
        <v/>
      </c>
      <c r="J51" s="86">
        <f>26</f>
        <v/>
      </c>
      <c r="K51" s="87">
        <f>D43</f>
        <v/>
      </c>
      <c r="L51" s="87">
        <f>E43</f>
        <v/>
      </c>
      <c r="M51" s="88">
        <f>F43</f>
        <v/>
      </c>
      <c r="N51" s="89">
        <f>G43</f>
        <v/>
      </c>
    </row>
    <row r="52">
      <c r="A52" s="53" t="n">
        <v>10485</v>
      </c>
      <c r="B52" s="7" t="n">
        <v>10</v>
      </c>
      <c r="C52" s="52" t="n">
        <v>15000</v>
      </c>
      <c r="D52" s="79">
        <f>$K$17+$K$18*B52+$K$19*C52</f>
        <v/>
      </c>
      <c r="E52" s="79">
        <f>A52-D52</f>
        <v/>
      </c>
      <c r="F52" s="80">
        <f>IF($K$7=0,"",E52/$K$7)</f>
        <v/>
      </c>
      <c r="G52" s="81">
        <f>IF(ABS(F52)&gt;2,"да","нет")</f>
        <v/>
      </c>
      <c r="H52" s="108">
        <f>35</f>
        <v/>
      </c>
      <c r="J52" s="86">
        <f>27</f>
        <v/>
      </c>
      <c r="K52" s="87">
        <f>D44</f>
        <v/>
      </c>
      <c r="L52" s="87">
        <f>E44</f>
        <v/>
      </c>
      <c r="M52" s="88">
        <f>F44</f>
        <v/>
      </c>
      <c r="N52" s="89">
        <f>G44</f>
        <v/>
      </c>
    </row>
    <row r="53">
      <c r="A53" s="53" t="n">
        <v>22020</v>
      </c>
      <c r="B53" s="7" t="n">
        <v>3</v>
      </c>
      <c r="C53" s="52" t="n">
        <v>4700</v>
      </c>
      <c r="D53" s="79">
        <f>$K$17+$K$18*B53+$K$19*C53</f>
        <v/>
      </c>
      <c r="E53" s="79">
        <f>A53-D53</f>
        <v/>
      </c>
      <c r="F53" s="80">
        <f>IF($K$7=0,"",E53/$K$7)</f>
        <v/>
      </c>
      <c r="G53" s="81">
        <f>IF(ABS(F53)&gt;2,"да","нет")</f>
        <v/>
      </c>
      <c r="H53" s="108">
        <f>36</f>
        <v/>
      </c>
      <c r="J53" s="86">
        <f>28</f>
        <v/>
      </c>
      <c r="K53" s="87">
        <f>D45</f>
        <v/>
      </c>
      <c r="L53" s="87">
        <f>E45</f>
        <v/>
      </c>
      <c r="M53" s="88">
        <f>F45</f>
        <v/>
      </c>
      <c r="N53" s="89">
        <f>G45</f>
        <v/>
      </c>
    </row>
    <row r="54">
      <c r="A54" s="53" t="n">
        <v>14554</v>
      </c>
      <c r="B54" s="7" t="n">
        <v>8</v>
      </c>
      <c r="C54" s="52" t="n">
        <v>10200</v>
      </c>
      <c r="D54" s="79">
        <f>$K$17+$K$18*B54+$K$19*C54</f>
        <v/>
      </c>
      <c r="E54" s="79">
        <f>A54-D54</f>
        <v/>
      </c>
      <c r="F54" s="80">
        <f>IF($K$7=0,"",E54/$K$7)</f>
        <v/>
      </c>
      <c r="G54" s="81">
        <f>IF(ABS(F54)&gt;2,"да","нет")</f>
        <v/>
      </c>
      <c r="H54" s="108">
        <f>37</f>
        <v/>
      </c>
      <c r="J54" s="86">
        <f>29</f>
        <v/>
      </c>
      <c r="K54" s="87">
        <f>D46</f>
        <v/>
      </c>
      <c r="L54" s="87">
        <f>E46</f>
        <v/>
      </c>
      <c r="M54" s="88">
        <f>F46</f>
        <v/>
      </c>
      <c r="N54" s="89">
        <f>G46</f>
        <v/>
      </c>
    </row>
    <row r="55">
      <c r="A55" s="53" t="n">
        <v>14021</v>
      </c>
      <c r="B55" s="7" t="n">
        <v>7</v>
      </c>
      <c r="C55" s="52" t="n">
        <v>10300</v>
      </c>
      <c r="D55" s="79">
        <f>$K$17+$K$18*B55+$K$19*C55</f>
        <v/>
      </c>
      <c r="E55" s="79">
        <f>A55-D55</f>
        <v/>
      </c>
      <c r="F55" s="80">
        <f>IF($K$7=0,"",E55/$K$7)</f>
        <v/>
      </c>
      <c r="G55" s="81">
        <f>IF(ABS(F55)&gt;2,"да","нет")</f>
        <v/>
      </c>
      <c r="H55" s="108">
        <f>38</f>
        <v/>
      </c>
      <c r="J55" s="86">
        <f>30</f>
        <v/>
      </c>
      <c r="K55" s="87">
        <f>D47</f>
        <v/>
      </c>
      <c r="L55" s="87">
        <f>E47</f>
        <v/>
      </c>
      <c r="M55" s="88">
        <f>F47</f>
        <v/>
      </c>
      <c r="N55" s="89">
        <f>G47</f>
        <v/>
      </c>
    </row>
    <row r="56">
      <c r="A56" s="53" t="n">
        <v>6252</v>
      </c>
      <c r="B56" s="7" t="n">
        <v>13</v>
      </c>
      <c r="C56" s="52" t="n">
        <v>14700</v>
      </c>
      <c r="D56" s="79">
        <f>$K$17+$K$18*B56+$K$19*C56</f>
        <v/>
      </c>
      <c r="E56" s="79">
        <f>A56-D56</f>
        <v/>
      </c>
      <c r="F56" s="80">
        <f>IF($K$7=0,"",E56/$K$7)</f>
        <v/>
      </c>
      <c r="G56" s="81">
        <f>IF(ABS(F56)&gt;2,"да","нет")</f>
        <v/>
      </c>
      <c r="H56" s="108">
        <f>39</f>
        <v/>
      </c>
      <c r="J56" s="86">
        <f>31</f>
        <v/>
      </c>
      <c r="K56" s="87">
        <f>D48</f>
        <v/>
      </c>
      <c r="L56" s="87">
        <f>E48</f>
        <v/>
      </c>
      <c r="M56" s="88">
        <f>F48</f>
        <v/>
      </c>
      <c r="N56" s="89">
        <f>G48</f>
        <v/>
      </c>
    </row>
    <row r="57">
      <c r="A57" s="53" t="n">
        <v>7801</v>
      </c>
      <c r="B57" s="7" t="n">
        <v>11</v>
      </c>
      <c r="C57" s="52" t="n">
        <v>13900</v>
      </c>
      <c r="D57" s="79">
        <f>$K$17+$K$18*B57+$K$19*C57</f>
        <v/>
      </c>
      <c r="E57" s="79">
        <f>A57-D57</f>
        <v/>
      </c>
      <c r="F57" s="80">
        <f>IF($K$7=0,"",E57/$K$7)</f>
        <v/>
      </c>
      <c r="G57" s="81">
        <f>IF(ABS(F57)&gt;2,"да","нет")</f>
        <v/>
      </c>
      <c r="H57" s="108">
        <f>40</f>
        <v/>
      </c>
      <c r="J57" s="86">
        <f>32</f>
        <v/>
      </c>
      <c r="K57" s="87">
        <f>D49</f>
        <v/>
      </c>
      <c r="L57" s="87">
        <f>E49</f>
        <v/>
      </c>
      <c r="M57" s="88">
        <f>F49</f>
        <v/>
      </c>
      <c r="N57" s="89">
        <f>G49</f>
        <v/>
      </c>
    </row>
    <row r="58">
      <c r="A58" s="53" t="n">
        <v>13681</v>
      </c>
      <c r="B58" s="7" t="n">
        <v>7</v>
      </c>
      <c r="C58" s="52" t="n">
        <v>9300</v>
      </c>
      <c r="D58" s="79">
        <f>$K$17+$K$18*B58+$K$19*C58</f>
        <v/>
      </c>
      <c r="E58" s="79">
        <f>A58-D58</f>
        <v/>
      </c>
      <c r="F58" s="80">
        <f>IF($K$7=0,"",E58/$K$7)</f>
        <v/>
      </c>
      <c r="G58" s="81">
        <f>IF(ABS(F58)&gt;2,"да","нет")</f>
        <v/>
      </c>
      <c r="H58" s="108">
        <f>41</f>
        <v/>
      </c>
      <c r="J58" s="86">
        <f>33</f>
        <v/>
      </c>
      <c r="K58" s="87">
        <f>D50</f>
        <v/>
      </c>
      <c r="L58" s="87">
        <f>E50</f>
        <v/>
      </c>
      <c r="M58" s="88">
        <f>F50</f>
        <v/>
      </c>
      <c r="N58" s="89">
        <f>G50</f>
        <v/>
      </c>
    </row>
    <row r="59">
      <c r="A59" s="53" t="n">
        <v>12909</v>
      </c>
      <c r="B59" s="7" t="n">
        <v>8</v>
      </c>
      <c r="C59" s="52" t="n">
        <v>11200</v>
      </c>
      <c r="D59" s="79">
        <f>$K$17+$K$18*B59+$K$19*C59</f>
        <v/>
      </c>
      <c r="E59" s="79">
        <f>A59-D59</f>
        <v/>
      </c>
      <c r="F59" s="80">
        <f>IF($K$7=0,"",E59/$K$7)</f>
        <v/>
      </c>
      <c r="G59" s="81">
        <f>IF(ABS(F59)&gt;2,"да","нет")</f>
        <v/>
      </c>
      <c r="H59" s="108">
        <f>42</f>
        <v/>
      </c>
      <c r="J59" s="86">
        <f>34</f>
        <v/>
      </c>
      <c r="K59" s="87">
        <f>D51</f>
        <v/>
      </c>
      <c r="L59" s="87">
        <f>E51</f>
        <v/>
      </c>
      <c r="M59" s="88">
        <f>F51</f>
        <v/>
      </c>
      <c r="N59" s="89">
        <f>G51</f>
        <v/>
      </c>
    </row>
    <row r="60">
      <c r="A60" s="53" t="n">
        <v>11841</v>
      </c>
      <c r="B60" s="7" t="n">
        <v>8</v>
      </c>
      <c r="C60" s="52" t="n">
        <v>11200</v>
      </c>
      <c r="D60" s="79">
        <f>$K$17+$K$18*B60+$K$19*C60</f>
        <v/>
      </c>
      <c r="E60" s="79">
        <f>A60-D60</f>
        <v/>
      </c>
      <c r="F60" s="80">
        <f>IF($K$7=0,"",E60/$K$7)</f>
        <v/>
      </c>
      <c r="G60" s="81">
        <f>IF(ABS(F60)&gt;2,"да","нет")</f>
        <v/>
      </c>
      <c r="H60" s="108">
        <f>43</f>
        <v/>
      </c>
      <c r="J60" s="86">
        <f>35</f>
        <v/>
      </c>
      <c r="K60" s="87">
        <f>D52</f>
        <v/>
      </c>
      <c r="L60" s="87">
        <f>E52</f>
        <v/>
      </c>
      <c r="M60" s="88">
        <f>F52</f>
        <v/>
      </c>
      <c r="N60" s="89">
        <f>G52</f>
        <v/>
      </c>
    </row>
    <row r="61" ht="13.5" customHeight="1" s="49" thickBot="1">
      <c r="A61" s="54" t="n">
        <v>5407</v>
      </c>
      <c r="B61" s="55" t="n">
        <v>14</v>
      </c>
      <c r="C61" s="52" t="n">
        <v>16600</v>
      </c>
      <c r="D61" s="79">
        <f>$K$17+$K$18*B61+$K$19*C61</f>
        <v/>
      </c>
      <c r="E61" s="79">
        <f>A61-D61</f>
        <v/>
      </c>
      <c r="F61" s="80">
        <f>IF($K$7=0,"",E61/$K$7)</f>
        <v/>
      </c>
      <c r="G61" s="81">
        <f>IF(ABS(F61)&gt;2,"да","нет")</f>
        <v/>
      </c>
      <c r="H61" s="108">
        <f>44</f>
        <v/>
      </c>
      <c r="J61" s="86">
        <f>36</f>
        <v/>
      </c>
      <c r="K61" s="87">
        <f>D53</f>
        <v/>
      </c>
      <c r="L61" s="87">
        <f>E53</f>
        <v/>
      </c>
      <c r="M61" s="88">
        <f>F53</f>
        <v/>
      </c>
      <c r="N61" s="89">
        <f>G53</f>
        <v/>
      </c>
    </row>
    <row r="62" s="49">
      <c r="A62" s="45" t="n"/>
      <c r="B62" s="46" t="n"/>
      <c r="C62" s="109" t="n"/>
      <c r="D62" s="109" t="n"/>
      <c r="E62" s="109" t="n"/>
      <c r="F62" s="110" t="n"/>
      <c r="J62" s="86">
        <f>37</f>
        <v/>
      </c>
      <c r="K62" s="87">
        <f>D54</f>
        <v/>
      </c>
      <c r="L62" s="87">
        <f>E54</f>
        <v/>
      </c>
      <c r="M62" s="88">
        <f>F54</f>
        <v/>
      </c>
      <c r="N62" s="89">
        <f>G54</f>
        <v/>
      </c>
    </row>
    <row r="63" ht="13.5" customHeight="1" s="49" thickBot="1">
      <c r="J63" s="86">
        <f>38</f>
        <v/>
      </c>
      <c r="K63" s="87">
        <f>D55</f>
        <v/>
      </c>
      <c r="L63" s="87">
        <f>E55</f>
        <v/>
      </c>
      <c r="M63" s="88">
        <f>F55</f>
        <v/>
      </c>
      <c r="N63" s="89">
        <f>G55</f>
        <v/>
      </c>
    </row>
    <row r="64" ht="13.5" customFormat="1" customHeight="1" s="24" thickTop="1">
      <c r="A64" s="23" t="inlineStr">
        <is>
          <t>1. Записать уравнение множественной линейной регрессии (общий вид y=a+b1*x1+b2*x2)</t>
        </is>
      </c>
      <c r="J64" s="86">
        <f>39</f>
        <v/>
      </c>
      <c r="K64" s="87">
        <f>D56</f>
        <v/>
      </c>
      <c r="L64" s="87">
        <f>E56</f>
        <v/>
      </c>
      <c r="M64" s="88">
        <f>F56</f>
        <v/>
      </c>
      <c r="N64" s="89">
        <f>G56</f>
        <v/>
      </c>
    </row>
    <row r="65" ht="13.5" customHeight="1" s="49" thickBot="1">
      <c r="J65" s="86">
        <f>40</f>
        <v/>
      </c>
      <c r="K65" s="87">
        <f>D57</f>
        <v/>
      </c>
      <c r="L65" s="87">
        <f>E57</f>
        <v/>
      </c>
      <c r="M65" s="88">
        <f>F57</f>
        <v/>
      </c>
      <c r="N65" s="89">
        <f>G57</f>
        <v/>
      </c>
    </row>
    <row r="66" ht="30.6" customHeight="1" s="49" thickBot="1">
      <c r="A66" s="25" t="inlineStr">
        <is>
          <t>Коэффициенты регрессии</t>
        </is>
      </c>
      <c r="B66" s="26" t="inlineStr">
        <is>
          <t>a</t>
        </is>
      </c>
      <c r="C66" s="27" t="inlineStr">
        <is>
          <t>b1</t>
        </is>
      </c>
      <c r="D66" s="27" t="inlineStr">
        <is>
          <t>b2</t>
        </is>
      </c>
      <c r="J66" s="86">
        <f>41</f>
        <v/>
      </c>
      <c r="K66" s="87">
        <f>D58</f>
        <v/>
      </c>
      <c r="L66" s="87">
        <f>E58</f>
        <v/>
      </c>
      <c r="M66" s="88">
        <f>F58</f>
        <v/>
      </c>
      <c r="N66" s="89">
        <f>G58</f>
        <v/>
      </c>
    </row>
    <row r="67" ht="14.25" customHeight="1" s="49">
      <c r="A67" s="28" t="inlineStr">
        <is>
          <t>Значение</t>
        </is>
      </c>
      <c r="B67" s="90">
        <f>ROUND(K17,2)</f>
        <v/>
      </c>
      <c r="C67" s="91">
        <f>ROUND(K18,2)</f>
        <v/>
      </c>
      <c r="D67" s="91">
        <f>ROUND(K19,2)</f>
        <v/>
      </c>
      <c r="J67" s="86">
        <f>42</f>
        <v/>
      </c>
      <c r="K67" s="87">
        <f>D59</f>
        <v/>
      </c>
      <c r="L67" s="87">
        <f>E59</f>
        <v/>
      </c>
      <c r="M67" s="88">
        <f>F59</f>
        <v/>
      </c>
      <c r="N67" s="89">
        <f>G59</f>
        <v/>
      </c>
    </row>
    <row r="68" ht="24" customHeight="1" s="49">
      <c r="A68" s="31" t="inlineStr">
        <is>
          <t>Уравнение регрессии</t>
        </is>
      </c>
      <c r="B68" s="92">
        <f>CONCATENATE("y = ",TEXT(B67,"0.00"),IF(C67&lt;0," − "," + "),TEXT(ABS(C67),"0.00"),"·x1",IF(D67&lt;0," − "," + "),TEXT(ABS(D67),"0.00"),"·x2")</f>
        <v/>
      </c>
      <c r="C68" s="77" t="n"/>
      <c r="D68" s="77" t="n"/>
      <c r="E68" s="77" t="n"/>
      <c r="F68" s="77" t="n"/>
      <c r="G68" s="77" t="n"/>
      <c r="H68" s="77" t="n"/>
      <c r="I68" s="73" t="n"/>
      <c r="J68" s="86">
        <f>43</f>
        <v/>
      </c>
      <c r="K68" s="87">
        <f>D60</f>
        <v/>
      </c>
      <c r="L68" s="87">
        <f>E60</f>
        <v/>
      </c>
      <c r="M68" s="88">
        <f>F60</f>
        <v/>
      </c>
      <c r="N68" s="89">
        <f>G60</f>
        <v/>
      </c>
    </row>
    <row r="69">
      <c r="J69" s="86">
        <f>44</f>
        <v/>
      </c>
      <c r="K69" s="87">
        <f>D61</f>
        <v/>
      </c>
      <c r="L69" s="87">
        <f>E61</f>
        <v/>
      </c>
      <c r="M69" s="88">
        <f>F61</f>
        <v/>
      </c>
      <c r="N69" s="89">
        <f>G61</f>
        <v/>
      </c>
    </row>
    <row r="70" ht="12.75" customHeight="1" s="49">
      <c r="A70" s="58" t="inlineStr">
        <is>
          <t>Записать (коротко)</t>
        </is>
      </c>
    </row>
    <row r="71" ht="60" customHeight="1" s="49">
      <c r="A71" s="95">
        <f>"1) Экономический смысл найденного коэффициента a: a = "&amp;TEXT(B67,"0.00")&amp;" у.е. — расчётная цена автомобиля с нулевым сроком эксплуатации и нулевым пробегом. В выборке минимальный возраст равен 3 годам, поэтому a — условная стартовая цена по уравнению, а не цена, непосредственно наблюдавшаяся в объявлениях."</f>
        <v/>
      </c>
      <c r="B71" s="77" t="n"/>
      <c r="C71" s="77" t="n"/>
      <c r="D71" s="77" t="n"/>
      <c r="E71" s="77" t="n"/>
      <c r="F71" s="77" t="n"/>
      <c r="G71" s="77" t="n"/>
      <c r="H71" s="77" t="n"/>
      <c r="I71" s="73" t="n"/>
      <c r="J71" s="85" t="inlineStr">
        <is>
          <t>Критерий выброса: |стандартный остаток e/S| &gt; 2. S — стандартная ошибка регрессии.</t>
        </is>
      </c>
      <c r="K71" s="77" t="n"/>
      <c r="L71" s="77" t="n"/>
      <c r="M71" s="77" t="n"/>
      <c r="N71" s="77" t="n"/>
      <c r="O71" s="77" t="n"/>
      <c r="P71" s="73" t="n"/>
    </row>
    <row r="72" ht="48" customHeight="1" s="49">
      <c r="A72" s="95">
        <f>"2) Экономический смысл найденного коэффициента b1: при увеличении срока эксплуатации на 1 год цена в среднем снижается на "&amp;TEXT(ABS(C67),"0.00")&amp;" у.е. при неизменном пробеге. Отрицательный знак означает удешевление автомобиля с возрастом."</f>
        <v/>
      </c>
      <c r="B72" s="77" t="n"/>
      <c r="C72" s="77" t="n"/>
      <c r="D72" s="77" t="n"/>
      <c r="E72" s="77" t="n"/>
      <c r="F72" s="77" t="n"/>
      <c r="G72" s="77" t="n"/>
      <c r="H72" s="77" t="n"/>
      <c r="I72" s="73" t="n"/>
      <c r="J72" s="74" t="inlineStr">
        <is>
          <t>Количество статистических выбросов</t>
        </is>
      </c>
      <c r="K72" s="76">
        <f>COUNTIF(G18:G61,"да")</f>
        <v/>
      </c>
    </row>
    <row r="73" ht="52" customHeight="1" s="49">
      <c r="A73" s="95">
        <f>"3) Экономический смысл найденного коэффициента b2: каждый дополнительный километр пробега снижает цену в среднем на "&amp;TEXT(ABS($K$19),"0.0000")&amp;" у.е. при неизменном возрасте. На 1000 км пробега цена снижается примерно на "&amp;TEXT(ABS($K$19)*1000,"0.00")&amp;" у.е."</f>
        <v/>
      </c>
      <c r="B73" s="77" t="n"/>
      <c r="C73" s="77" t="n"/>
      <c r="D73" s="77" t="n"/>
      <c r="E73" s="77" t="n"/>
      <c r="F73" s="77" t="n"/>
      <c r="G73" s="77" t="n"/>
      <c r="H73" s="77" t="n"/>
      <c r="I73" s="73" t="n"/>
      <c r="J73" s="74" t="inlineStr">
        <is>
          <t>Корреляция срока эксплуатации и пробега</t>
        </is>
      </c>
      <c r="K73" s="75">
        <f>CORREL(B18:B61,C18:C61)</f>
        <v/>
      </c>
    </row>
    <row r="74" ht="32" customHeight="1" s="49" thickBot="1">
      <c r="J74" s="74" t="inlineStr">
        <is>
          <t>VIF каждого фактора (при двух регрессорах VIF = 1/(1−R² между ними))</t>
        </is>
      </c>
      <c r="K74" s="83">
        <f>1/(1-RSQ(B18:B61,C18:C61))</f>
        <v/>
      </c>
    </row>
    <row r="75" ht="13.5" customFormat="1" customHeight="1" s="24" thickTop="1">
      <c r="A75" s="23" t="inlineStr">
        <is>
          <t>2. Проанализировать доверительные интервалы для коэффициентов регрессии:</t>
        </is>
      </c>
    </row>
    <row r="76" ht="13.5" customHeight="1" s="49" thickBot="1"/>
    <row r="77" ht="24.75" customHeight="1" s="49" thickBot="1">
      <c r="A77" s="25" t="inlineStr">
        <is>
          <t>Коэффициенты регрессии</t>
        </is>
      </c>
      <c r="B77" s="26" t="inlineStr">
        <is>
          <t>a</t>
        </is>
      </c>
      <c r="C77" s="27" t="inlineStr">
        <is>
          <t>b1</t>
        </is>
      </c>
      <c r="D77" s="27" t="inlineStr">
        <is>
          <t>b2</t>
        </is>
      </c>
    </row>
    <row r="78" ht="24" customHeight="1" s="49">
      <c r="A78" s="31" t="inlineStr">
        <is>
          <t>Нижняя граница</t>
        </is>
      </c>
      <c r="B78" s="90">
        <f>ROUND(O17,2)</f>
        <v/>
      </c>
      <c r="C78" s="91">
        <f>ROUND(O18,2)</f>
        <v/>
      </c>
      <c r="D78" s="91">
        <f>ROUND(O19,2)</f>
        <v/>
      </c>
    </row>
    <row r="79" ht="24" customHeight="1" s="49">
      <c r="A79" s="31" t="inlineStr">
        <is>
          <t>Верхняя граница</t>
        </is>
      </c>
      <c r="B79" s="96">
        <f>ROUND(P17,2)</f>
        <v/>
      </c>
      <c r="C79" s="97">
        <f>ROUND(P18,2)</f>
        <v/>
      </c>
      <c r="D79" s="97">
        <f>ROUND(P19,2)</f>
        <v/>
      </c>
    </row>
    <row r="81" ht="12.75" customHeight="1" s="49">
      <c r="A81" s="58" t="inlineStr">
        <is>
          <t>Записать (коротко)</t>
        </is>
      </c>
    </row>
    <row r="82" ht="44" customHeight="1" s="49">
      <c r="A82" s="95">
        <f>"1) Экономический смысл границ доверительного интервала коэффициента a: с вероятностью 95% истинное a лежит от "&amp;TEXT(B78,"0.00")&amp;" до "&amp;TEXT(B79,"0.00")&amp;" у.е. Интервал не содержит нуля, свободный член значим."</f>
        <v/>
      </c>
      <c r="B82" s="77" t="n"/>
      <c r="C82" s="77" t="n"/>
      <c r="D82" s="77" t="n"/>
      <c r="E82" s="77" t="n"/>
      <c r="F82" s="77" t="n"/>
      <c r="G82" s="77" t="n"/>
      <c r="H82" s="77" t="n"/>
      <c r="I82" s="73" t="n"/>
    </row>
    <row r="83" ht="60" customHeight="1" s="49">
      <c r="A83" s="95">
        <f>"2) Экономический смысл границ доверительного интервала коэффициента b1: с вероятностью 95% дополнительный год эксплуатации изменяет цену на величину от "&amp;TEXT(C78,"0.00")&amp;" до "&amp;TEXT(C79,"0.00")&amp;" у.е. Интервал целиком отрицательный. Для продавца благоприятнее верхняя граница (меньшее падение цены), для покупателя — нижняя (большее падение)."</f>
        <v/>
      </c>
      <c r="B83" s="77" t="n"/>
      <c r="C83" s="77" t="n"/>
      <c r="D83" s="77" t="n"/>
      <c r="E83" s="77" t="n"/>
      <c r="F83" s="77" t="n"/>
      <c r="G83" s="77" t="n"/>
      <c r="H83" s="77" t="n"/>
      <c r="I83" s="73" t="n"/>
    </row>
    <row r="84" ht="60" customHeight="1" s="49">
      <c r="A84" s="95">
        <f>"3) Экономический смысл границ доверительного интервала коэффициента b2: с вероятностью 95% один километр пробега изменяет цену от "&amp;TEXT($O$19,"0.0000")&amp;" до "&amp;TEXT($P$19,"0.0000")&amp;" у.е. Интервал ниже нуля, пробег достоверно снижает цену. На 1000 км снижение составляет примерно от "&amp;TEXT(ABS($P$19)*1000,"0.00")&amp;" до "&amp;TEXT(ABS($O$19)*1000,"0.00")&amp;" у.е."</f>
        <v/>
      </c>
      <c r="B84" s="77" t="n"/>
      <c r="C84" s="77" t="n"/>
      <c r="D84" s="77" t="n"/>
      <c r="E84" s="77" t="n"/>
      <c r="F84" s="77" t="n"/>
      <c r="G84" s="77" t="n"/>
      <c r="H84" s="77" t="n"/>
      <c r="I84" s="73" t="n"/>
    </row>
    <row r="85" ht="13.5" customHeight="1" s="49" thickBot="1">
      <c r="A85" s="57" t="n"/>
      <c r="B85" s="57" t="n"/>
      <c r="C85" s="57" t="n"/>
      <c r="D85" s="57" t="n"/>
      <c r="E85" s="57" t="n"/>
    </row>
    <row r="86" ht="13.5" customFormat="1" customHeight="1" s="24" thickTop="1">
      <c r="A86" s="23" t="inlineStr">
        <is>
          <t>3. Проверить достоверность найденных коэффициентов:</t>
        </is>
      </c>
    </row>
    <row r="87" ht="13.5" customHeight="1" s="49" thickBot="1"/>
    <row r="88" ht="24.75" customHeight="1" s="49" thickBot="1">
      <c r="A88" s="25" t="inlineStr">
        <is>
          <t>Коэффициенты регрессии</t>
        </is>
      </c>
      <c r="B88" s="26" t="inlineStr">
        <is>
          <t>a</t>
        </is>
      </c>
      <c r="C88" s="27" t="inlineStr">
        <is>
          <t>b1</t>
        </is>
      </c>
      <c r="D88" s="27" t="inlineStr">
        <is>
          <t>b2</t>
        </is>
      </c>
    </row>
    <row r="89" ht="14.25" customHeight="1" s="49">
      <c r="A89" s="31" t="inlineStr">
        <is>
          <t>Р-значение</t>
        </is>
      </c>
      <c r="B89" s="111">
        <f>N17</f>
        <v/>
      </c>
      <c r="C89" s="112">
        <f>N18</f>
        <v/>
      </c>
      <c r="D89" s="112">
        <f>N19</f>
        <v/>
      </c>
    </row>
    <row r="90" ht="36.75" customHeight="1" s="49" thickBot="1">
      <c r="A90" s="35" t="inlineStr">
        <is>
          <t>Вывод (достоверен/ недостоверен)</t>
        </is>
      </c>
      <c r="B90" s="100">
        <f>IF(ABS(M17)&gt;$K$21,"достоверен","недостоверен")</f>
        <v/>
      </c>
      <c r="C90" s="101">
        <f>IF(ABS(M18)&gt;$K$21,"достоверен","недостоверен")</f>
        <v/>
      </c>
      <c r="D90" s="101">
        <f>IF(ABS(M19)&gt;$K$21,"достоверен","недостоверен")</f>
        <v/>
      </c>
    </row>
    <row r="91" ht="44" customHeight="1" s="49" thickBot="1">
      <c r="A91" s="102">
        <f>"Проверка t-критерием при α = 5%: tкр = "&amp;TEXT($K$21,"0.00")&amp;". a: t = "&amp;TEXT(M17,"0.00")&amp;" → "&amp;B90&amp;"; b1: t = "&amp;TEXT(M18,"0.00")&amp;" → "&amp;C90&amp;"; b2: t = "&amp;TEXT(M19,"0.00")&amp;" → "&amp;D90&amp;". Выводы t-критерия и p-value совпадают: все три коэффициента достоверны."</f>
        <v/>
      </c>
      <c r="B91" s="77" t="n"/>
      <c r="C91" s="77" t="n"/>
      <c r="D91" s="77" t="n"/>
      <c r="E91" s="77" t="n"/>
      <c r="F91" s="77" t="n"/>
      <c r="G91" s="77" t="n"/>
      <c r="H91" s="77" t="n"/>
      <c r="I91" s="73" t="n"/>
    </row>
    <row r="92" ht="13.5" customFormat="1" customHeight="1" s="24" thickTop="1">
      <c r="A92" s="23" t="inlineStr">
        <is>
          <t>4. Определить тесноту связи в уравнении регресии:</t>
        </is>
      </c>
    </row>
    <row r="93" ht="13.5" customHeight="1" s="49" thickBot="1"/>
    <row r="94" ht="24" customHeight="1" s="49">
      <c r="A94" s="28" t="inlineStr">
        <is>
          <t>Коэффициент корреляции</t>
        </is>
      </c>
      <c r="B94" s="103">
        <f>K4</f>
        <v/>
      </c>
    </row>
    <row r="95" ht="36" customHeight="1" s="49">
      <c r="A95" s="37" t="inlineStr">
        <is>
          <t>Связь (тесная/слабая)</t>
        </is>
      </c>
      <c r="B95" s="104">
        <f>IF(B94&gt;=0.7,"тесная","слабая")</f>
        <v/>
      </c>
    </row>
    <row r="96" ht="30" customHeight="1" s="49" thickBot="1">
      <c r="A96" s="102">
        <f>"Множественный коэффициент корреляции R = "&amp;TEXT(B94,"0.0000")&amp;". По шкале Чеддока связь тесная (R ≥ 0,7)."</f>
        <v/>
      </c>
      <c r="B96" s="77" t="n"/>
      <c r="C96" s="77" t="n"/>
      <c r="D96" s="77" t="n"/>
      <c r="E96" s="77" t="n"/>
      <c r="F96" s="77" t="n"/>
      <c r="G96" s="77" t="n"/>
      <c r="H96" s="77" t="n"/>
      <c r="I96" s="73" t="n"/>
    </row>
    <row r="97" ht="24" customHeight="1" s="49">
      <c r="A97" s="28" t="inlineStr">
        <is>
          <t xml:space="preserve">Коэф.  детерминации </t>
        </is>
      </c>
      <c r="B97" s="103">
        <f>K5</f>
        <v/>
      </c>
    </row>
    <row r="99">
      <c r="A99" s="58" t="inlineStr">
        <is>
          <t>Записать (коротко)</t>
        </is>
      </c>
    </row>
    <row r="100" ht="48" customHeight="1" s="49">
      <c r="A100" s="95">
        <f>"Экономический смысл коэффициента детерминации: R² = "&amp;TEXT(B97,"0.00%")&amp;" означает, что срок эксплуатации и пробег вместе объясняют "&amp;TEXT(B97,"0.00%")&amp;" вариации цены. На остальные факторы приходится "&amp;TEXT(1-B97,"0.00%")&amp;"."</f>
        <v/>
      </c>
      <c r="B100" s="77" t="n"/>
      <c r="C100" s="77" t="n"/>
      <c r="D100" s="77" t="n"/>
      <c r="E100" s="77" t="n"/>
      <c r="F100" s="77" t="n"/>
      <c r="G100" s="77" t="n"/>
      <c r="H100" s="77" t="n"/>
      <c r="I100" s="73" t="n"/>
    </row>
    <row r="101" ht="13.5" customHeight="1" s="49" thickBot="1"/>
    <row r="102" ht="13.5" customFormat="1" customHeight="1" s="24" thickTop="1">
      <c r="A102" s="23" t="inlineStr">
        <is>
          <t xml:space="preserve">5. Проверить достаточность наблюдений: </t>
        </is>
      </c>
    </row>
    <row r="104" ht="14.25" customHeight="1" s="49">
      <c r="A104" s="31" t="inlineStr">
        <is>
          <t>Значимость F</t>
        </is>
      </c>
      <c r="B104" s="105">
        <f>O12</f>
        <v/>
      </c>
    </row>
    <row r="105" ht="36.75" customHeight="1" s="49" thickBot="1">
      <c r="A105" s="35" t="inlineStr">
        <is>
          <t>Вывод (достаточно/ недостаточно)</t>
        </is>
      </c>
      <c r="B105" s="106">
        <f>IF(B104&lt;0.05,"достаточно","недостаточно")</f>
        <v/>
      </c>
    </row>
    <row r="106" ht="40" customHeight="1" s="49" thickBot="1">
      <c r="A106" s="102">
        <f>"Модель в целом значима: F = "&amp;TEXT(N12,"0.00")&amp;" &gt; Fкр = "&amp;TEXT(P12,"0.00")&amp;", значимость F = "&amp;TEXT(B104,"0.00E+00")&amp;" &lt; 0,05. "&amp;K8&amp;" наблюдений достаточно для оценки трёх параметров."</f>
        <v/>
      </c>
      <c r="B106" s="77" t="n"/>
      <c r="C106" s="77" t="n"/>
      <c r="D106" s="77" t="n"/>
      <c r="E106" s="77" t="n"/>
      <c r="F106" s="77" t="n"/>
      <c r="G106" s="77" t="n"/>
      <c r="H106" s="77" t="n"/>
      <c r="I106" s="73" t="n"/>
    </row>
    <row r="107" ht="13.5" customFormat="1" customHeight="1" s="24" thickTop="1">
      <c r="A107" s="23" t="inlineStr">
        <is>
          <t>6. Определить наличие статистических  выбросов:</t>
        </is>
      </c>
    </row>
    <row r="109" ht="36" customHeight="1" s="49">
      <c r="A109" s="31" t="inlineStr">
        <is>
          <t>Кол-во стат.выбросов</t>
        </is>
      </c>
      <c r="B109" s="107">
        <f>K72</f>
        <v/>
      </c>
    </row>
    <row r="110" ht="36" customHeight="1" s="49" thickBot="1">
      <c r="A110" s="102">
        <f>"Критерий статистического выброса: |e/S| &gt; 2. Количество выбросов: "&amp;TEXT(B109,"0")&amp;". Ни один стандартный остаток не выходит за порог двух сигм."</f>
        <v/>
      </c>
      <c r="B110" s="77" t="n"/>
      <c r="C110" s="77" t="n"/>
      <c r="D110" s="77" t="n"/>
      <c r="E110" s="77" t="n"/>
      <c r="F110" s="77" t="n"/>
      <c r="G110" s="77" t="n"/>
      <c r="H110" s="77" t="n"/>
      <c r="I110" s="73" t="n"/>
    </row>
    <row r="111" ht="13.5" customFormat="1" customHeight="1" s="24" thickTop="1">
      <c r="A111" s="23" t="inlineStr">
        <is>
          <t>7. Построить график сравнения Уфакт. И Утеор.</t>
        </is>
      </c>
    </row>
    <row r="112" s="49">
      <c r="A112" s="41" t="n"/>
    </row>
    <row r="113" s="49">
      <c r="A113" s="41" t="n"/>
    </row>
    <row r="114" s="49">
      <c r="A114" s="41" t="n"/>
    </row>
    <row r="115" s="49">
      <c r="A115" s="41" t="n"/>
    </row>
    <row r="116" s="49">
      <c r="A116" s="41" t="n"/>
    </row>
    <row r="117" s="49">
      <c r="A117" s="41" t="n"/>
    </row>
    <row r="118" s="49">
      <c r="A118" s="41" t="n"/>
    </row>
    <row r="119" s="49">
      <c r="A119" s="41" t="n"/>
    </row>
    <row r="120" s="49">
      <c r="A120" s="41" t="n"/>
    </row>
    <row r="121" s="49">
      <c r="A121" s="41" t="n"/>
    </row>
    <row r="122" s="49">
      <c r="A122" s="41" t="n"/>
    </row>
    <row r="123" s="49">
      <c r="A123" s="41" t="n"/>
    </row>
    <row r="124" s="49">
      <c r="A124" s="41" t="n"/>
    </row>
    <row r="125" s="49">
      <c r="A125" s="41" t="n"/>
    </row>
    <row r="126" s="49">
      <c r="A126" s="41" t="n"/>
    </row>
    <row r="127" s="49">
      <c r="A127" s="41" t="n"/>
    </row>
    <row r="128" s="49">
      <c r="A128" s="41" t="n"/>
    </row>
    <row r="129" s="49">
      <c r="A129" s="41" t="n"/>
    </row>
    <row r="131" ht="13.5" customHeight="1" s="49" thickBot="1"/>
    <row r="132" ht="13.5" customFormat="1" customHeight="1" s="24" thickTop="1">
      <c r="A132" s="23" t="inlineStr">
        <is>
          <t xml:space="preserve">Ответьте на следующие вопросы: </t>
        </is>
      </c>
    </row>
    <row r="133">
      <c r="A133" s="44" t="n"/>
    </row>
    <row r="134" ht="36" customHeight="1" s="49">
      <c r="A134" s="102">
        <f>"1) На сколько в среднем изменится цена на автомобиль при увеличении его срока эксплуатации на 1 год? Снизится на "&amp;TEXT(ABS(C67),"0.00")&amp;" у.е. при неизменном пробеге."</f>
        <v/>
      </c>
      <c r="B134" s="77" t="n"/>
      <c r="C134" s="77" t="n"/>
      <c r="D134" s="77" t="n"/>
      <c r="E134" s="77" t="n"/>
      <c r="F134" s="77" t="n"/>
      <c r="G134" s="77" t="n"/>
      <c r="H134" s="77" t="n"/>
      <c r="I134" s="73" t="n"/>
      <c r="J134" s="43" t="n"/>
      <c r="K134" s="43" t="n"/>
      <c r="L134" s="43" t="n"/>
    </row>
    <row r="135" ht="15" customHeight="1" s="49">
      <c r="A135" s="43" t="n"/>
      <c r="B135" s="43" t="n"/>
      <c r="C135" s="43" t="n"/>
      <c r="D135" s="43" t="n"/>
      <c r="E135" s="43" t="n"/>
      <c r="F135" s="43" t="n"/>
      <c r="G135" s="43" t="n"/>
      <c r="H135" s="43" t="n"/>
      <c r="I135" s="43" t="n"/>
      <c r="J135" s="43" t="n"/>
      <c r="K135" s="43" t="n"/>
      <c r="L135" s="43" t="n"/>
    </row>
    <row r="136" ht="40" customHeight="1" s="49">
      <c r="A136" s="102">
        <f>"2) Как в среднем изменится цена на автомобиль при увеличении пробега на 1000 км? Снизится на "&amp;TEXT(ABS($K$19)*1000,"0.00")&amp;" у.е. при неизменном сроке эксплуатации."</f>
        <v/>
      </c>
      <c r="B136" s="77" t="n"/>
      <c r="C136" s="77" t="n"/>
      <c r="D136" s="77" t="n"/>
      <c r="E136" s="77" t="n"/>
      <c r="F136" s="77" t="n"/>
      <c r="G136" s="77" t="n"/>
      <c r="H136" s="77" t="n"/>
      <c r="I136" s="73" t="n"/>
    </row>
    <row r="137" ht="15" customHeight="1" s="49">
      <c r="A137" s="43" t="n"/>
    </row>
    <row r="138" ht="60" customHeight="1" s="49">
      <c r="A138" s="102">
        <f>"3) Каждый следующий год эксплуатации на сколько изменит цену на автомобиль в лучшем случае для продавца? А для покупателя? Для продавца лучше наименьшее падение цены: на "&amp;TEXT(ABS(C79),"0.00")&amp;" у.е. (верхняя граница 95% ДИ b1). Для покупателя лучше наибольшее падение: на "&amp;TEXT(ABS(C78),"0.00")&amp;" у.е. (нижняя граница ДИ)."</f>
        <v/>
      </c>
      <c r="B138" s="77" t="n"/>
      <c r="C138" s="77" t="n"/>
      <c r="D138" s="77" t="n"/>
      <c r="E138" s="77" t="n"/>
      <c r="F138" s="77" t="n"/>
      <c r="G138" s="77" t="n"/>
      <c r="H138" s="77" t="n"/>
      <c r="I138" s="73" t="n"/>
    </row>
    <row r="139" ht="15" customHeight="1" s="49">
      <c r="A139" s="43" t="n"/>
    </row>
    <row r="140" ht="36" customHeight="1" s="49">
      <c r="A140" s="102">
        <f>"4) Сколько % изменения цены на автомобиль объясняется изменением срока эксплуатации и пробега? "&amp;TEXT(B97,"0.00%")&amp;"."</f>
        <v/>
      </c>
      <c r="B140" s="77" t="n"/>
      <c r="C140" s="77" t="n"/>
      <c r="D140" s="77" t="n"/>
      <c r="E140" s="77" t="n"/>
      <c r="F140" s="77" t="n"/>
      <c r="G140" s="77" t="n"/>
      <c r="H140" s="77" t="n"/>
      <c r="I140" s="73" t="n"/>
    </row>
    <row r="141" ht="15" customHeight="1" s="49">
      <c r="A141" s="43" t="n"/>
    </row>
    <row r="142" ht="36" customHeight="1" s="49">
      <c r="A142" s="102">
        <f>"5) Сколько % изменения цены объясняется изменением нерассматриваемых в модели факторов? "&amp;TEXT(1-B97,"0.00%")&amp;"."</f>
        <v/>
      </c>
      <c r="B142" s="77" t="n"/>
      <c r="C142" s="77" t="n"/>
      <c r="D142" s="77" t="n"/>
      <c r="E142" s="77" t="n"/>
      <c r="F142" s="77" t="n"/>
      <c r="G142" s="77" t="n"/>
      <c r="H142" s="77" t="n"/>
      <c r="I142" s="73" t="n"/>
    </row>
    <row r="143" ht="15" customHeight="1" s="49">
      <c r="A143" s="43" t="n"/>
    </row>
    <row r="144" ht="48" customHeight="1" s="49">
      <c r="A144" s="102">
        <f>"6) Привести пример факторов, которые можно было дополнительно учесть в данной модели? Марка и комплектация, техническое состояние, объём двигателя, тип коробки передач, число владельцев, тип кузова, регион продажи, участие в ДТП."</f>
        <v/>
      </c>
      <c r="B144" s="77" t="n"/>
      <c r="C144" s="77" t="n"/>
      <c r="D144" s="77" t="n"/>
      <c r="E144" s="77" t="n"/>
      <c r="F144" s="77" t="n"/>
      <c r="G144" s="77" t="n"/>
      <c r="H144" s="77" t="n"/>
      <c r="I144" s="73" t="n"/>
    </row>
    <row r="145" ht="15" customHeight="1" s="49">
      <c r="A145" s="43" t="n"/>
    </row>
    <row r="146" ht="72" customHeight="1" s="49">
      <c r="A146" s="102">
        <f>"7) Можно ли использовать данную модель для прогнозов? Да, для совместного прогноза цены внутри диапазона наблюдений: значимость F = "&amp;TEXT(B104,"0.00E+00")&amp;" &lt; 0,05, все коэффициенты достоверны, R² = "&amp;TEXT(B97,"0.00%")&amp;", выбросов нет. Оговорка: срок и пробег сильно связаны (r = "&amp;TEXT($K$73,"0.00")&amp;", VIF = "&amp;TEXT($K$74,"0.00")&amp;"), поэтому разделять их вклады нужно осторожно, а прогноз цены по обоим факторам сразу — устойчив. Точка «6 лет и 10 000 км» находится внутри выборки."</f>
        <v/>
      </c>
      <c r="B146" s="77" t="n"/>
      <c r="C146" s="77" t="n"/>
      <c r="D146" s="77" t="n"/>
      <c r="E146" s="77" t="n"/>
      <c r="F146" s="77" t="n"/>
      <c r="G146" s="77" t="n"/>
      <c r="H146" s="77" t="n"/>
      <c r="I146" s="73" t="n"/>
    </row>
    <row r="147" ht="15" customHeight="1" s="49">
      <c r="A147" s="43" t="n"/>
    </row>
    <row r="148" ht="48" customHeight="1" s="49">
      <c r="A148" s="102">
        <f>"8) Какова будет средняя цена на автомобиль со сроком эксплуатации 6 лет и пробегом 10000 км? Ŷ = a + b1·6 + b2·10000 = "&amp;TEXT($K$17+$K$18*6+$K$19*10000,"0.00")&amp;" у.е. (по неокруглённым коэффициентам)."</f>
        <v/>
      </c>
      <c r="B148" s="77" t="n"/>
      <c r="C148" s="77" t="n"/>
      <c r="D148" s="77" t="n"/>
      <c r="E148" s="77" t="n"/>
      <c r="F148" s="77" t="n"/>
      <c r="G148" s="77" t="n"/>
      <c r="H148" s="77" t="n"/>
      <c r="I148" s="73" t="n"/>
    </row>
    <row r="149" ht="15" customHeight="1" s="49">
      <c r="A149" s="43" t="n"/>
    </row>
    <row r="150" ht="64" customHeight="1" s="49">
      <c r="A150" s="102">
        <f>"9) Как вы думаете, удачна ли была для покупателя покупка автомобиля под номером 10? Да. Фактическая цена "&amp;TEXT(A27,"0")&amp;" у.е., цена по модели "&amp;TEXT(D27,"0.00")&amp;" у.е. Покупатель заплатил на "&amp;TEXT(D27-A27,"0.00")&amp;" у.е. меньше ожидаемой. Стандартный остаток = "&amp;TEXT(F27,"0.00")&amp;" (по модулю меньше 2): скидка заметная, но наблюдение не является статистическим выбросом."</f>
        <v/>
      </c>
      <c r="B150" s="77" t="n"/>
      <c r="C150" s="77" t="n"/>
      <c r="D150" s="77" t="n"/>
      <c r="E150" s="77" t="n"/>
      <c r="F150" s="77" t="n"/>
      <c r="G150" s="77" t="n"/>
      <c r="H150" s="77" t="n"/>
      <c r="I150" s="73" t="n"/>
    </row>
  </sheetData>
  <mergeCells count="31">
    <mergeCell ref="J22:P22"/>
    <mergeCell ref="A84:I84"/>
    <mergeCell ref="A136:I136"/>
    <mergeCell ref="A70:B70"/>
    <mergeCell ref="J2:P2"/>
    <mergeCell ref="J71:P71"/>
    <mergeCell ref="A71:I71"/>
    <mergeCell ref="A99:B99"/>
    <mergeCell ref="J24:N24"/>
    <mergeCell ref="A150:I150"/>
    <mergeCell ref="A144:I144"/>
    <mergeCell ref="A106:I106"/>
    <mergeCell ref="A140:I140"/>
    <mergeCell ref="A91:I91"/>
    <mergeCell ref="A100:I100"/>
    <mergeCell ref="J10:P10"/>
    <mergeCell ref="A96:I96"/>
    <mergeCell ref="A72:I72"/>
    <mergeCell ref="J1:P1"/>
    <mergeCell ref="A134:I134"/>
    <mergeCell ref="A83:I83"/>
    <mergeCell ref="A148:I148"/>
    <mergeCell ref="A82:I82"/>
    <mergeCell ref="J3:K3"/>
    <mergeCell ref="B68:I68"/>
    <mergeCell ref="A142:I142"/>
    <mergeCell ref="A73:I73"/>
    <mergeCell ref="A81:B81"/>
    <mergeCell ref="A138:I138"/>
    <mergeCell ref="A110:I110"/>
    <mergeCell ref="A146:I146"/>
  </mergeCells>
  <conditionalFormatting sqref="G18:G61">
    <cfRule type="cellIs" priority="1" operator="equal" dxfId="0">
      <formula>"да"</formula>
    </cfRule>
  </conditionalFormatting>
  <conditionalFormatting sqref="N26:N69">
    <cfRule type="cellIs" priority="2" operator="equal" dxfId="0">
      <formula>"да"</formula>
    </cfRule>
  </conditionalFormatting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47"/>
  <sheetViews>
    <sheetView workbookViewId="0">
      <selection activeCell="C1" sqref="C1"/>
    </sheetView>
  </sheetViews>
  <sheetFormatPr baseColWidth="8" defaultColWidth="8.85546875" defaultRowHeight="12.75"/>
  <cols>
    <col width="44" customWidth="1" style="49" min="1" max="1"/>
    <col width="22" customWidth="1" style="49" min="2" max="2"/>
    <col width="20" customWidth="1" style="49" min="3" max="3"/>
    <col width="22" customWidth="1" style="49" min="4" max="4"/>
    <col width="8" customWidth="1" style="49" min="5" max="5"/>
    <col width="13.28515625" customWidth="1" style="49" min="6" max="6"/>
    <col width="15.5703125" customWidth="1" style="49" min="7" max="7"/>
    <col width="8" bestFit="1" customWidth="1" style="49" min="8" max="8"/>
    <col width="14" customWidth="1" style="49" min="9" max="9"/>
    <col width="14" customWidth="1" style="49" min="10" max="10"/>
    <col width="22" customWidth="1" style="49" min="11" max="11"/>
    <col width="56" customWidth="1" style="49" min="12" max="12"/>
    <col width="18" customWidth="1" style="49" min="13" max="13"/>
    <col width="22" customWidth="1" style="49" min="14" max="14"/>
    <col width="16" customWidth="1" style="49" min="15" max="15"/>
    <col width="16" customWidth="1" style="49" min="16" max="16"/>
    <col width="16" customWidth="1" style="49" min="17" max="17"/>
    <col width="16" customWidth="1" style="49" min="18" max="18"/>
  </cols>
  <sheetData>
    <row r="1" ht="24" customHeight="1" s="49">
      <c r="A1" s="1" t="inlineStr">
        <is>
          <t>Вариант</t>
        </is>
      </c>
      <c r="B1" s="1" t="n"/>
      <c r="C1" s="2" t="n">
        <v>7</v>
      </c>
      <c r="L1" s="70" t="inlineStr">
        <is>
          <t>ВЫВОД ИТОГОВ</t>
        </is>
      </c>
    </row>
    <row r="2" ht="32" customHeight="1" s="49">
      <c r="L2" s="71" t="inlineStr">
        <is>
          <t>Полная модель. Y — пробег на 10 л, км; X1 — возраст, лет; X2 = d (пол): мужчина = 1, женщина = 0. Доверие 95%, значимость 5%.</t>
        </is>
      </c>
    </row>
    <row r="3">
      <c r="A3" s="41" t="inlineStr">
        <is>
          <t xml:space="preserve">      Таксомоторную компанию интересует зависимость между средним пробегом машины</t>
        </is>
      </c>
      <c r="L3" s="72" t="inlineStr">
        <is>
          <t>Регрессионная статистика</t>
        </is>
      </c>
      <c r="M3" s="73" t="n"/>
    </row>
    <row r="4">
      <c r="A4" s="41" t="inlineStr">
        <is>
          <t xml:space="preserve">в расчете на 10 литров топлива и средним возрастом машины. Посредстом случайного </t>
        </is>
      </c>
      <c r="L4" s="74" t="inlineStr">
        <is>
          <t>Множественный R</t>
        </is>
      </c>
      <c r="M4" s="75">
        <f>SQRT(M5)</f>
        <v/>
      </c>
    </row>
    <row r="5">
      <c r="A5" s="41" t="inlineStr">
        <is>
          <t xml:space="preserve">выбора были взяты 25 автомашин одной марки, на которых работают и мужчины и женщины </t>
        </is>
      </c>
      <c r="L5" s="74" t="inlineStr">
        <is>
          <t>R-квадрат</t>
        </is>
      </c>
      <c r="M5" s="75">
        <f>INDEX(LINEST($F$22:$F$58,$G$22:$H$58,TRUE,TRUE),3,1)</f>
        <v/>
      </c>
    </row>
    <row r="6">
      <c r="A6" s="41" t="inlineStr">
        <is>
          <t>Выбранные машины находятся в удовлетворительном состоянии, которое поддерживается</t>
        </is>
      </c>
      <c r="L6" s="74" t="inlineStr">
        <is>
          <t>Нормированный R-квадрат</t>
        </is>
      </c>
      <c r="M6" s="75">
        <f>1-(1-M5)*(M8-1)/(M8-M12-1)</f>
        <v/>
      </c>
    </row>
    <row r="7">
      <c r="A7" s="41" t="inlineStr">
        <is>
          <t>регулярным техническим обслуживанием. Поскольку водителями в компании работают</t>
        </is>
      </c>
      <c r="L7" s="74" t="inlineStr">
        <is>
          <t>Стандартная ошибка</t>
        </is>
      </c>
      <c r="M7" s="75">
        <f>INDEX(LINEST($F$22:$F$58,$G$22:$H$58,TRUE,TRUE),3,2)</f>
        <v/>
      </c>
    </row>
    <row r="8">
      <c r="A8" s="41" t="inlineStr">
        <is>
          <t>и мужчины и женщины, выдвинуто предположение, что какая-то часть изменчивости</t>
        </is>
      </c>
      <c r="L8" s="74" t="inlineStr">
        <is>
          <t>Наблюдения</t>
        </is>
      </c>
      <c r="M8" s="76">
        <f>COUNT(F22:F58)</f>
        <v/>
      </c>
    </row>
    <row r="9">
      <c r="A9" s="41" t="inlineStr">
        <is>
          <t xml:space="preserve">пробега автомобиля в расчете на 10 литров топлива может объясняться разной техникой </t>
        </is>
      </c>
    </row>
    <row r="10">
      <c r="A10" s="41" t="inlineStr">
        <is>
          <t>вождения у мужчин и женщин. Значения среднего пробега на каждые 10 литров топлива</t>
        </is>
      </c>
      <c r="L10" s="72" t="inlineStr">
        <is>
          <t>Дисперсионный анализ</t>
        </is>
      </c>
      <c r="M10" s="77" t="n"/>
      <c r="N10" s="77" t="n"/>
      <c r="O10" s="77" t="n"/>
      <c r="P10" s="77" t="n"/>
      <c r="Q10" s="77" t="n"/>
      <c r="R10" s="73" t="n"/>
    </row>
    <row r="11">
      <c r="A11" s="41" t="inlineStr">
        <is>
          <t>расчитываются на основе сведений о расходе горючего после прохождения машинами</t>
        </is>
      </c>
      <c r="M11" s="78" t="inlineStr">
        <is>
          <t>df</t>
        </is>
      </c>
      <c r="N11" s="78" t="inlineStr">
        <is>
          <t>SS</t>
        </is>
      </c>
      <c r="O11" s="78" t="inlineStr">
        <is>
          <t>MS</t>
        </is>
      </c>
      <c r="P11" s="78" t="inlineStr">
        <is>
          <t>F</t>
        </is>
      </c>
      <c r="Q11" s="78" t="inlineStr">
        <is>
          <t>Значимость F</t>
        </is>
      </c>
      <c r="R11" s="78" t="inlineStr">
        <is>
          <t>F критическое</t>
        </is>
      </c>
    </row>
    <row r="12">
      <c r="A12" s="41" t="inlineStr">
        <is>
          <t xml:space="preserve">расстояния в 300 км. </t>
        </is>
      </c>
      <c r="L12" s="74" t="inlineStr">
        <is>
          <t>Регрессия</t>
        </is>
      </c>
      <c r="M12" s="76">
        <f>COLUMNS(G22:H58)</f>
        <v/>
      </c>
      <c r="N12" s="82">
        <f>M5*N14</f>
        <v/>
      </c>
      <c r="O12" s="82">
        <f>N12/M12</f>
        <v/>
      </c>
      <c r="P12" s="83">
        <f>O12/O13</f>
        <v/>
      </c>
      <c r="Q12" s="84">
        <f>FDIST(P12,M12,M13)</f>
        <v/>
      </c>
      <c r="R12" s="83">
        <f>FINV(0.05,M12,M13)</f>
        <v/>
      </c>
    </row>
    <row r="13">
      <c r="A13" s="41" t="inlineStr">
        <is>
          <t>Постороить зависимость пробега автомобиля на 10 л топлива от его возраста и пола водителя.</t>
        </is>
      </c>
      <c r="L13" s="74" t="inlineStr">
        <is>
          <t>Остаток</t>
        </is>
      </c>
      <c r="M13" s="76">
        <f>M8-M12-1</f>
        <v/>
      </c>
      <c r="N13" s="82">
        <f>N14-N12</f>
        <v/>
      </c>
      <c r="O13" s="82">
        <f>N13/M13</f>
        <v/>
      </c>
    </row>
    <row r="14">
      <c r="A14" s="56" t="inlineStr">
        <is>
          <t>результаты анализа выводить в столбце L</t>
        </is>
      </c>
      <c r="L14" s="74" t="inlineStr">
        <is>
          <t>Итого</t>
        </is>
      </c>
      <c r="M14" s="76">
        <f>M8-1</f>
        <v/>
      </c>
      <c r="N14" s="82">
        <f>DEVSQ(F22:F58)</f>
        <v/>
      </c>
    </row>
    <row r="15">
      <c r="A15" s="41" t="inlineStr">
        <is>
          <t>Определить достоверность параметров регрессии и интервал их изменения. Проверить тесноту</t>
        </is>
      </c>
    </row>
    <row r="16">
      <c r="A16" s="41" t="inlineStr">
        <is>
          <t>связи в построенном уравнении регрессии и достаточность наблюдений. Проанализировать</t>
        </is>
      </c>
      <c r="L16" s="78" t="inlineStr"/>
      <c r="M16" s="78" t="inlineStr">
        <is>
          <t>Коэффициенты</t>
        </is>
      </c>
      <c r="N16" s="78" t="inlineStr">
        <is>
          <t>Стандартная ошибка</t>
        </is>
      </c>
      <c r="O16" s="78" t="inlineStr">
        <is>
          <t>t-статистика</t>
        </is>
      </c>
      <c r="P16" s="78" t="inlineStr">
        <is>
          <t>P-Значение</t>
        </is>
      </c>
      <c r="Q16" s="78" t="inlineStr">
        <is>
          <t>Нижние 95%</t>
        </is>
      </c>
      <c r="R16" s="78" t="inlineStr">
        <is>
          <t>Верхние 95%</t>
        </is>
      </c>
    </row>
    <row r="17">
      <c r="A17" s="41" t="inlineStr">
        <is>
          <t>влияние на величину пробега каждого фактора и имеющиеся статистические выбросы.</t>
        </is>
      </c>
      <c r="L17" s="74" t="inlineStr">
        <is>
          <t>Y-пересечение (a), база — женщина</t>
        </is>
      </c>
      <c r="M17" s="75">
        <f>INDEX(LINEST($F$22:$F$58,$G$22:$H$58,TRUE,TRUE),1,3)</f>
        <v/>
      </c>
      <c r="N17" s="75">
        <f>INDEX(LINEST($F$22:$F$58,$G$22:$H$58,TRUE,TRUE),2,3)</f>
        <v/>
      </c>
      <c r="O17" s="83">
        <f>M17/N17</f>
        <v/>
      </c>
      <c r="P17" s="84">
        <f>TDIST(ABS(O17),$M$13,2)</f>
        <v/>
      </c>
      <c r="Q17" s="75">
        <f>M17-TINV(0.05,$M$13)*N17</f>
        <v/>
      </c>
      <c r="R17" s="75">
        <f>M17+TINV(0.05,$M$13)*N17</f>
        <v/>
      </c>
    </row>
    <row r="18">
      <c r="A18" s="41" t="inlineStr">
        <is>
          <t xml:space="preserve">      Собранные данные представлены в таблице.</t>
        </is>
      </c>
      <c r="L18" s="74" t="inlineStr">
        <is>
          <t>Переменная X 1 (b1, возраст, лет)</t>
        </is>
      </c>
      <c r="M18" s="75">
        <f>INDEX(LINEST($F$22:$F$58,$G$22:$H$58,TRUE,TRUE),1,2)</f>
        <v/>
      </c>
      <c r="N18" s="75">
        <f>INDEX(LINEST($F$22:$F$58,$G$22:$H$58,TRUE,TRUE),2,2)</f>
        <v/>
      </c>
      <c r="O18" s="83">
        <f>M18/N18</f>
        <v/>
      </c>
      <c r="P18" s="84">
        <f>TDIST(ABS(O18),$M$13,2)</f>
        <v/>
      </c>
      <c r="Q18" s="75">
        <f>M18-TINV(0.05,$M$13)*N18</f>
        <v/>
      </c>
      <c r="R18" s="75">
        <f>M18+TINV(0.05,$M$13)*N18</f>
        <v/>
      </c>
    </row>
    <row r="19">
      <c r="A19" s="41" t="n"/>
      <c r="L19" s="74" t="inlineStr">
        <is>
          <t>Переменная X 2 (b2, пол d)</t>
        </is>
      </c>
      <c r="M19" s="75">
        <f>INDEX(LINEST($F$22:$F$58,$G$22:$H$58,TRUE,TRUE),1,1)</f>
        <v/>
      </c>
      <c r="N19" s="75">
        <f>INDEX(LINEST($F$22:$F$58,$G$22:$H$58,TRUE,TRUE),2,1)</f>
        <v/>
      </c>
      <c r="O19" s="83">
        <f>M19/N19</f>
        <v/>
      </c>
      <c r="P19" s="84">
        <f>TDIST(ABS(O19),$M$13,2)</f>
        <v/>
      </c>
      <c r="Q19" s="75">
        <f>M19-TINV(0.05,$M$13)*N19</f>
        <v/>
      </c>
      <c r="R19" s="75">
        <f>M19+TINV(0.05,$M$13)*N19</f>
        <v/>
      </c>
    </row>
    <row r="20" ht="13.5" customHeight="1" s="49" thickBot="1">
      <c r="A20" s="22" t="inlineStr">
        <is>
          <t xml:space="preserve">Исходная таблица </t>
        </is>
      </c>
      <c r="F20" s="22" t="inlineStr">
        <is>
          <t xml:space="preserve">Преобразованная  таблица </t>
        </is>
      </c>
    </row>
    <row r="21" ht="29.45" customHeight="1" s="49" thickBot="1">
      <c r="A21" s="4" t="inlineStr">
        <is>
          <t>Пробег в км на 10 л</t>
        </is>
      </c>
      <c r="B21" s="4" t="inlineStr">
        <is>
          <t>Возраст машины (лет)</t>
        </is>
      </c>
      <c r="C21" s="5" t="inlineStr">
        <is>
          <t>Пол водителя</t>
        </is>
      </c>
      <c r="E21" s="78" t="inlineStr">
        <is>
          <t>№</t>
        </is>
      </c>
      <c r="F21" s="4" t="inlineStr">
        <is>
          <t>Пробег в км на 10 л</t>
        </is>
      </c>
      <c r="G21" s="4" t="inlineStr">
        <is>
          <t>Возраст машины (лет)</t>
        </is>
      </c>
      <c r="H21" s="4" t="inlineStr">
        <is>
          <t>d (пол)</t>
        </is>
      </c>
      <c r="I21" s="78" t="inlineStr">
        <is>
          <t>Yтеор</t>
        </is>
      </c>
      <c r="J21" s="78" t="inlineStr">
        <is>
          <t>Остаток</t>
        </is>
      </c>
      <c r="K21" s="78" t="inlineStr">
        <is>
          <t>Стандартный остаток</t>
        </is>
      </c>
      <c r="L21" s="74" t="inlineStr">
        <is>
          <t>t-критическое (двустороннее, α = 0,05)</t>
        </is>
      </c>
      <c r="M21" s="75">
        <f>TINV(0.05,M13)</f>
        <v/>
      </c>
    </row>
    <row r="22">
      <c r="A22" s="6" t="n">
        <v>38.5</v>
      </c>
      <c r="B22" s="6" t="n">
        <v>5</v>
      </c>
      <c r="C22" s="6" t="inlineStr">
        <is>
          <t>муж</t>
        </is>
      </c>
      <c r="E22" s="108">
        <f>1</f>
        <v/>
      </c>
      <c r="F22" s="6" t="n">
        <v>38.5</v>
      </c>
      <c r="G22" s="6" t="n">
        <v>5</v>
      </c>
      <c r="H22" s="113">
        <f>IF(C22="муж",1,IF(C22="жен",0,"ошибка"))</f>
        <v/>
      </c>
      <c r="I22" s="79">
        <f>$M$17+$M$18*G22+$M$19*H22</f>
        <v/>
      </c>
      <c r="J22" s="79">
        <f>F22-I22</f>
        <v/>
      </c>
      <c r="K22" s="80">
        <f>IF($M$7=0,"",J22/$M$7)</f>
        <v/>
      </c>
      <c r="BY22" t="n">
        <v>1</v>
      </c>
    </row>
    <row r="23">
      <c r="A23" s="7" t="n">
        <v>38.2</v>
      </c>
      <c r="B23" s="7" t="n">
        <v>2</v>
      </c>
      <c r="C23" s="7" t="inlineStr">
        <is>
          <t>жен</t>
        </is>
      </c>
      <c r="E23" s="108">
        <f>2</f>
        <v/>
      </c>
      <c r="F23" s="7" t="n">
        <v>38.2</v>
      </c>
      <c r="G23" s="7" t="n">
        <v>2</v>
      </c>
      <c r="H23" s="114">
        <f>IF(C23="муж",1,IF(C23="жен",0,"ошибка"))</f>
        <v/>
      </c>
      <c r="I23" s="79">
        <f>$M$17+$M$18*G23+$M$19*H23</f>
        <v/>
      </c>
      <c r="J23" s="79">
        <f>F23-I23</f>
        <v/>
      </c>
      <c r="K23" s="80">
        <f>IF($M$7=0,"",J23/$M$7)</f>
        <v/>
      </c>
      <c r="L23" s="72" t="inlineStr">
        <is>
          <t>ВЫВОД ОСТАТКОВ (полная модель)</t>
        </is>
      </c>
      <c r="M23" s="77" t="n"/>
      <c r="N23" s="77" t="n"/>
      <c r="O23" s="77" t="n"/>
      <c r="P23" s="73" t="n"/>
      <c r="BY23" t="n">
        <v>0</v>
      </c>
    </row>
    <row r="24">
      <c r="A24" s="8" t="n">
        <v>43</v>
      </c>
      <c r="B24" s="8" t="n">
        <v>2</v>
      </c>
      <c r="C24" s="8" t="inlineStr">
        <is>
          <t>муж</t>
        </is>
      </c>
      <c r="E24" s="108">
        <f>3</f>
        <v/>
      </c>
      <c r="F24" s="8" t="n">
        <v>43</v>
      </c>
      <c r="G24" s="8" t="n">
        <v>2</v>
      </c>
      <c r="H24" s="115">
        <f>IF(C24="муж",1,IF(C24="жен",0,"ошибка"))</f>
        <v/>
      </c>
      <c r="I24" s="79">
        <f>$M$17+$M$18*G24+$M$19*H24</f>
        <v/>
      </c>
      <c r="J24" s="79">
        <f>F24-I24</f>
        <v/>
      </c>
      <c r="K24" s="80">
        <f>IF($M$7=0,"",J24/$M$7)</f>
        <v/>
      </c>
      <c r="L24" s="78" t="inlineStr">
        <is>
          <t>Наблюдение</t>
        </is>
      </c>
      <c r="M24" s="78" t="inlineStr">
        <is>
          <t>Предсказанное Y</t>
        </is>
      </c>
      <c r="N24" s="78" t="inlineStr">
        <is>
          <t>Остатки</t>
        </is>
      </c>
      <c r="O24" s="78" t="inlineStr">
        <is>
          <t>Стандартные остатки</t>
        </is>
      </c>
      <c r="P24" s="78" t="inlineStr">
        <is>
          <t>Выброс</t>
        </is>
      </c>
      <c r="BY24" t="n">
        <v>1</v>
      </c>
    </row>
    <row r="25">
      <c r="A25" s="7" t="n">
        <v>35</v>
      </c>
      <c r="B25" s="7" t="n">
        <v>8</v>
      </c>
      <c r="C25" s="7" t="inlineStr">
        <is>
          <t>муж</t>
        </is>
      </c>
      <c r="E25" s="108">
        <f>4</f>
        <v/>
      </c>
      <c r="F25" s="7" t="n">
        <v>35</v>
      </c>
      <c r="G25" s="7" t="n">
        <v>8</v>
      </c>
      <c r="H25" s="114">
        <f>IF(C25="муж",1,IF(C25="жен",0,"ошибка"))</f>
        <v/>
      </c>
      <c r="I25" s="79">
        <f>$M$17+$M$18*G25+$M$19*H25</f>
        <v/>
      </c>
      <c r="J25" s="79">
        <f>F25-I25</f>
        <v/>
      </c>
      <c r="K25" s="80">
        <f>IF($M$7=0,"",J25/$M$7)</f>
        <v/>
      </c>
      <c r="L25" s="86">
        <f>1</f>
        <v/>
      </c>
      <c r="M25" s="87">
        <f>I22</f>
        <v/>
      </c>
      <c r="N25" s="87">
        <f>J22</f>
        <v/>
      </c>
      <c r="O25" s="88">
        <f>K22</f>
        <v/>
      </c>
      <c r="P25" s="89">
        <f>IF(ABS(K22)&gt;2,"да","нет")</f>
        <v/>
      </c>
      <c r="BY25" t="n">
        <v>1</v>
      </c>
    </row>
    <row r="26">
      <c r="A26" s="8" t="n">
        <v>26.5</v>
      </c>
      <c r="B26" s="8" t="n">
        <v>11</v>
      </c>
      <c r="C26" s="8" t="inlineStr">
        <is>
          <t>муж</t>
        </is>
      </c>
      <c r="E26" s="108">
        <f>5</f>
        <v/>
      </c>
      <c r="F26" s="8" t="n">
        <v>26.5</v>
      </c>
      <c r="G26" s="8" t="n">
        <v>11</v>
      </c>
      <c r="H26" s="115">
        <f>IF(C26="муж",1,IF(C26="жен",0,"ошибка"))</f>
        <v/>
      </c>
      <c r="I26" s="79">
        <f>$M$17+$M$18*G26+$M$19*H26</f>
        <v/>
      </c>
      <c r="J26" s="79">
        <f>F26-I26</f>
        <v/>
      </c>
      <c r="K26" s="80">
        <f>IF($M$7=0,"",J26/$M$7)</f>
        <v/>
      </c>
      <c r="L26" s="86">
        <f>2</f>
        <v/>
      </c>
      <c r="M26" s="87">
        <f>I23</f>
        <v/>
      </c>
      <c r="N26" s="87">
        <f>J23</f>
        <v/>
      </c>
      <c r="O26" s="88">
        <f>K23</f>
        <v/>
      </c>
      <c r="P26" s="89">
        <f>IF(ABS(K23)&gt;2,"да","нет")</f>
        <v/>
      </c>
      <c r="BY26" t="n">
        <v>1</v>
      </c>
    </row>
    <row r="27">
      <c r="A27" s="7" t="n">
        <v>30.2</v>
      </c>
      <c r="B27" s="7" t="n">
        <v>12</v>
      </c>
      <c r="C27" s="7" t="inlineStr">
        <is>
          <t>жен</t>
        </is>
      </c>
      <c r="E27" s="108">
        <f>6</f>
        <v/>
      </c>
      <c r="F27" s="7" t="n">
        <v>30.2</v>
      </c>
      <c r="G27" s="7" t="n">
        <v>12</v>
      </c>
      <c r="H27" s="114">
        <f>IF(C27="муж",1,IF(C27="жен",0,"ошибка"))</f>
        <v/>
      </c>
      <c r="I27" s="79">
        <f>$M$17+$M$18*G27+$M$19*H27</f>
        <v/>
      </c>
      <c r="J27" s="79">
        <f>F27-I27</f>
        <v/>
      </c>
      <c r="K27" s="80">
        <f>IF($M$7=0,"",J27/$M$7)</f>
        <v/>
      </c>
      <c r="L27" s="86">
        <f>3</f>
        <v/>
      </c>
      <c r="M27" s="87">
        <f>I24</f>
        <v/>
      </c>
      <c r="N27" s="87">
        <f>J24</f>
        <v/>
      </c>
      <c r="O27" s="88">
        <f>K24</f>
        <v/>
      </c>
      <c r="P27" s="89">
        <f>IF(ABS(K24)&gt;2,"да","нет")</f>
        <v/>
      </c>
      <c r="BY27" t="n">
        <v>0</v>
      </c>
    </row>
    <row r="28">
      <c r="A28" s="8" t="n">
        <v>19.7</v>
      </c>
      <c r="B28" s="8" t="n">
        <v>11</v>
      </c>
      <c r="C28" s="8" t="inlineStr">
        <is>
          <t>жен</t>
        </is>
      </c>
      <c r="E28" s="108">
        <f>7</f>
        <v/>
      </c>
      <c r="F28" s="8" t="n">
        <v>19.7</v>
      </c>
      <c r="G28" s="8" t="n">
        <v>11</v>
      </c>
      <c r="H28" s="115">
        <f>IF(C28="муж",1,IF(C28="жен",0,"ошибка"))</f>
        <v/>
      </c>
      <c r="I28" s="79">
        <f>$M$17+$M$18*G28+$M$19*H28</f>
        <v/>
      </c>
      <c r="J28" s="79">
        <f>F28-I28</f>
        <v/>
      </c>
      <c r="K28" s="80">
        <f>IF($M$7=0,"",J28/$M$7)</f>
        <v/>
      </c>
      <c r="L28" s="86">
        <f>4</f>
        <v/>
      </c>
      <c r="M28" s="87">
        <f>I25</f>
        <v/>
      </c>
      <c r="N28" s="87">
        <f>J25</f>
        <v/>
      </c>
      <c r="O28" s="88">
        <f>K25</f>
        <v/>
      </c>
      <c r="P28" s="89">
        <f>IF(ABS(K25)&gt;2,"да","нет")</f>
        <v/>
      </c>
      <c r="BY28" t="n">
        <v>0</v>
      </c>
    </row>
    <row r="29">
      <c r="A29" s="7" t="n">
        <v>34.7</v>
      </c>
      <c r="B29" s="7" t="n">
        <v>9</v>
      </c>
      <c r="C29" s="7" t="inlineStr">
        <is>
          <t>жен</t>
        </is>
      </c>
      <c r="E29" s="108">
        <f>8</f>
        <v/>
      </c>
      <c r="F29" s="7" t="n">
        <v>34.7</v>
      </c>
      <c r="G29" s="7" t="n">
        <v>9</v>
      </c>
      <c r="H29" s="114">
        <f>IF(C29="муж",1,IF(C29="жен",0,"ошибка"))</f>
        <v/>
      </c>
      <c r="I29" s="79">
        <f>$M$17+$M$18*G29+$M$19*H29</f>
        <v/>
      </c>
      <c r="J29" s="79">
        <f>F29-I29</f>
        <v/>
      </c>
      <c r="K29" s="80">
        <f>IF($M$7=0,"",J29/$M$7)</f>
        <v/>
      </c>
      <c r="L29" s="86">
        <f>5</f>
        <v/>
      </c>
      <c r="M29" s="87">
        <f>I26</f>
        <v/>
      </c>
      <c r="N29" s="87">
        <f>J26</f>
        <v/>
      </c>
      <c r="O29" s="88">
        <f>K26</f>
        <v/>
      </c>
      <c r="P29" s="89">
        <f>IF(ABS(K26)&gt;2,"да","нет")</f>
        <v/>
      </c>
      <c r="BY29" t="n">
        <v>0</v>
      </c>
    </row>
    <row r="30">
      <c r="A30" s="8" t="n">
        <v>30</v>
      </c>
      <c r="B30" s="8" t="n">
        <v>12</v>
      </c>
      <c r="C30" s="8" t="inlineStr">
        <is>
          <t>муж</t>
        </is>
      </c>
      <c r="E30" s="108">
        <f>9</f>
        <v/>
      </c>
      <c r="F30" s="8" t="n">
        <v>30</v>
      </c>
      <c r="G30" s="8" t="n">
        <v>12</v>
      </c>
      <c r="H30" s="115">
        <f>IF(C30="муж",1,IF(C30="жен",0,"ошибка"))</f>
        <v/>
      </c>
      <c r="I30" s="79">
        <f>$M$17+$M$18*G30+$M$19*H30</f>
        <v/>
      </c>
      <c r="J30" s="79">
        <f>F30-I30</f>
        <v/>
      </c>
      <c r="K30" s="80">
        <f>IF($M$7=0,"",J30/$M$7)</f>
        <v/>
      </c>
      <c r="L30" s="86">
        <f>6</f>
        <v/>
      </c>
      <c r="M30" s="87">
        <f>I27</f>
        <v/>
      </c>
      <c r="N30" s="87">
        <f>J27</f>
        <v/>
      </c>
      <c r="O30" s="88">
        <f>K27</f>
        <v/>
      </c>
      <c r="P30" s="89">
        <f>IF(ABS(K27)&gt;2,"да","нет")</f>
        <v/>
      </c>
      <c r="BY30" t="n">
        <v>1</v>
      </c>
    </row>
    <row r="31">
      <c r="A31" s="7" t="n">
        <v>29</v>
      </c>
      <c r="B31" s="7" t="n">
        <v>14</v>
      </c>
      <c r="C31" s="7" t="inlineStr">
        <is>
          <t>муж</t>
        </is>
      </c>
      <c r="E31" s="108">
        <f>10</f>
        <v/>
      </c>
      <c r="F31" s="7" t="n">
        <v>29</v>
      </c>
      <c r="G31" s="7" t="n">
        <v>14</v>
      </c>
      <c r="H31" s="114">
        <f>IF(C31="муж",1,IF(C31="жен",0,"ошибка"))</f>
        <v/>
      </c>
      <c r="I31" s="79">
        <f>$M$17+$M$18*G31+$M$19*H31</f>
        <v/>
      </c>
      <c r="J31" s="79">
        <f>F31-I31</f>
        <v/>
      </c>
      <c r="K31" s="80">
        <f>IF($M$7=0,"",J31/$M$7)</f>
        <v/>
      </c>
      <c r="L31" s="86">
        <f>7</f>
        <v/>
      </c>
      <c r="M31" s="87">
        <f>I28</f>
        <v/>
      </c>
      <c r="N31" s="87">
        <f>J28</f>
        <v/>
      </c>
      <c r="O31" s="88">
        <f>K28</f>
        <v/>
      </c>
      <c r="P31" s="89">
        <f>IF(ABS(K28)&gt;2,"да","нет")</f>
        <v/>
      </c>
      <c r="BY31" t="n">
        <v>1</v>
      </c>
    </row>
    <row r="32">
      <c r="A32" s="8" t="n">
        <v>28.2</v>
      </c>
      <c r="B32" s="8" t="n">
        <v>12</v>
      </c>
      <c r="C32" s="8" t="inlineStr">
        <is>
          <t>жен</t>
        </is>
      </c>
      <c r="E32" s="108">
        <f>11</f>
        <v/>
      </c>
      <c r="F32" s="8" t="n">
        <v>28.2</v>
      </c>
      <c r="G32" s="8" t="n">
        <v>12</v>
      </c>
      <c r="H32" s="115">
        <f>IF(C32="муж",1,IF(C32="жен",0,"ошибка"))</f>
        <v/>
      </c>
      <c r="I32" s="79">
        <f>$M$17+$M$18*G32+$M$19*H32</f>
        <v/>
      </c>
      <c r="J32" s="79">
        <f>F32-I32</f>
        <v/>
      </c>
      <c r="K32" s="80">
        <f>IF($M$7=0,"",J32/$M$7)</f>
        <v/>
      </c>
      <c r="L32" s="86">
        <f>8</f>
        <v/>
      </c>
      <c r="M32" s="87">
        <f>I29</f>
        <v/>
      </c>
      <c r="N32" s="87">
        <f>J29</f>
        <v/>
      </c>
      <c r="O32" s="88">
        <f>K29</f>
        <v/>
      </c>
      <c r="P32" s="89">
        <f>IF(ABS(K29)&gt;2,"да","нет")</f>
        <v/>
      </c>
      <c r="BY32" t="n">
        <v>0</v>
      </c>
    </row>
    <row r="33">
      <c r="A33" s="7" t="n">
        <v>41.7</v>
      </c>
      <c r="B33" s="7" t="n">
        <v>3</v>
      </c>
      <c r="C33" s="7" t="inlineStr">
        <is>
          <t>жен</t>
        </is>
      </c>
      <c r="E33" s="108">
        <f>12</f>
        <v/>
      </c>
      <c r="F33" s="7" t="n">
        <v>41.7</v>
      </c>
      <c r="G33" s="7" t="n">
        <v>3</v>
      </c>
      <c r="H33" s="114">
        <f>IF(C33="муж",1,IF(C33="жен",0,"ошибка"))</f>
        <v/>
      </c>
      <c r="I33" s="79">
        <f>$M$17+$M$18*G33+$M$19*H33</f>
        <v/>
      </c>
      <c r="J33" s="79">
        <f>F33-I33</f>
        <v/>
      </c>
      <c r="K33" s="80">
        <f>IF($M$7=0,"",J33/$M$7)</f>
        <v/>
      </c>
      <c r="L33" s="86">
        <f>9</f>
        <v/>
      </c>
      <c r="M33" s="87">
        <f>I30</f>
        <v/>
      </c>
      <c r="N33" s="87">
        <f>J30</f>
        <v/>
      </c>
      <c r="O33" s="88">
        <f>K30</f>
        <v/>
      </c>
      <c r="P33" s="89">
        <f>IF(ABS(K30)&gt;2,"да","нет")</f>
        <v/>
      </c>
      <c r="BY33" t="n">
        <v>0</v>
      </c>
    </row>
    <row r="34">
      <c r="A34" s="8" t="n">
        <v>15.5</v>
      </c>
      <c r="B34" s="8" t="n">
        <v>15</v>
      </c>
      <c r="C34" s="8" t="inlineStr">
        <is>
          <t>муж</t>
        </is>
      </c>
      <c r="E34" s="108">
        <f>13</f>
        <v/>
      </c>
      <c r="F34" s="8" t="n">
        <v>15.5</v>
      </c>
      <c r="G34" s="8" t="n">
        <v>15</v>
      </c>
      <c r="H34" s="115">
        <f>IF(C34="муж",1,IF(C34="жен",0,"ошибка"))</f>
        <v/>
      </c>
      <c r="I34" s="79">
        <f>$M$17+$M$18*G34+$M$19*H34</f>
        <v/>
      </c>
      <c r="J34" s="79">
        <f>F34-I34</f>
        <v/>
      </c>
      <c r="K34" s="80">
        <f>IF($M$7=0,"",J34/$M$7)</f>
        <v/>
      </c>
      <c r="L34" s="86">
        <f>10</f>
        <v/>
      </c>
      <c r="M34" s="87">
        <f>I31</f>
        <v/>
      </c>
      <c r="N34" s="87">
        <f>J31</f>
        <v/>
      </c>
      <c r="O34" s="88">
        <f>K31</f>
        <v/>
      </c>
      <c r="P34" s="89">
        <f>IF(ABS(K31)&gt;2,"да","нет")</f>
        <v/>
      </c>
      <c r="BY34" t="n">
        <v>1</v>
      </c>
    </row>
    <row r="35">
      <c r="A35" s="7" t="n">
        <v>27.2</v>
      </c>
      <c r="B35" s="7" t="n">
        <v>6</v>
      </c>
      <c r="C35" s="7" t="inlineStr">
        <is>
          <t>жен</t>
        </is>
      </c>
      <c r="E35" s="108">
        <f>14</f>
        <v/>
      </c>
      <c r="F35" s="7" t="n">
        <v>27.2</v>
      </c>
      <c r="G35" s="7" t="n">
        <v>6</v>
      </c>
      <c r="H35" s="114">
        <f>IF(C35="муж",1,IF(C35="жен",0,"ошибка"))</f>
        <v/>
      </c>
      <c r="I35" s="79">
        <f>$M$17+$M$18*G35+$M$19*H35</f>
        <v/>
      </c>
      <c r="J35" s="79">
        <f>F35-I35</f>
        <v/>
      </c>
      <c r="K35" s="80">
        <f>IF($M$7=0,"",J35/$M$7)</f>
        <v/>
      </c>
      <c r="L35" s="86">
        <f>11</f>
        <v/>
      </c>
      <c r="M35" s="87">
        <f>I32</f>
        <v/>
      </c>
      <c r="N35" s="87">
        <f>J32</f>
        <v/>
      </c>
      <c r="O35" s="88">
        <f>K32</f>
        <v/>
      </c>
      <c r="P35" s="89">
        <f>IF(ABS(K32)&gt;2,"да","нет")</f>
        <v/>
      </c>
      <c r="BY35" t="n">
        <v>0</v>
      </c>
    </row>
    <row r="36">
      <c r="A36" s="8" t="n">
        <v>20.2</v>
      </c>
      <c r="B36" s="8" t="n">
        <v>14</v>
      </c>
      <c r="C36" s="8" t="inlineStr">
        <is>
          <t>жен</t>
        </is>
      </c>
      <c r="E36" s="108">
        <f>15</f>
        <v/>
      </c>
      <c r="F36" s="8" t="n">
        <v>20.2</v>
      </c>
      <c r="G36" s="8" t="n">
        <v>14</v>
      </c>
      <c r="H36" s="115">
        <f>IF(C36="муж",1,IF(C36="жен",0,"ошибка"))</f>
        <v/>
      </c>
      <c r="I36" s="79">
        <f>$M$17+$M$18*G36+$M$19*H36</f>
        <v/>
      </c>
      <c r="J36" s="79">
        <f>F36-I36</f>
        <v/>
      </c>
      <c r="K36" s="80">
        <f>IF($M$7=0,"",J36/$M$7)</f>
        <v/>
      </c>
      <c r="L36" s="86">
        <f>12</f>
        <v/>
      </c>
      <c r="M36" s="87">
        <f>I33</f>
        <v/>
      </c>
      <c r="N36" s="87">
        <f>J33</f>
        <v/>
      </c>
      <c r="O36" s="88">
        <f>K33</f>
        <v/>
      </c>
      <c r="P36" s="89">
        <f>IF(ABS(K33)&gt;2,"да","нет")</f>
        <v/>
      </c>
      <c r="BY36" t="n">
        <v>0</v>
      </c>
    </row>
    <row r="37">
      <c r="A37" s="7" t="n">
        <v>22.5</v>
      </c>
      <c r="B37" s="7" t="n">
        <v>11</v>
      </c>
      <c r="C37" s="7" t="inlineStr">
        <is>
          <t>муж</t>
        </is>
      </c>
      <c r="E37" s="108">
        <f>16</f>
        <v/>
      </c>
      <c r="F37" s="7" t="n">
        <v>22.5</v>
      </c>
      <c r="G37" s="7" t="n">
        <v>11</v>
      </c>
      <c r="H37" s="114">
        <f>IF(C37="муж",1,IF(C37="жен",0,"ошибка"))</f>
        <v/>
      </c>
      <c r="I37" s="79">
        <f>$M$17+$M$18*G37+$M$19*H37</f>
        <v/>
      </c>
      <c r="J37" s="79">
        <f>F37-I37</f>
        <v/>
      </c>
      <c r="K37" s="80">
        <f>IF($M$7=0,"",J37/$M$7)</f>
        <v/>
      </c>
      <c r="L37" s="86">
        <f>13</f>
        <v/>
      </c>
      <c r="M37" s="87">
        <f>I34</f>
        <v/>
      </c>
      <c r="N37" s="87">
        <f>J34</f>
        <v/>
      </c>
      <c r="O37" s="88">
        <f>K34</f>
        <v/>
      </c>
      <c r="P37" s="89">
        <f>IF(ABS(K34)&gt;2,"да","нет")</f>
        <v/>
      </c>
      <c r="BY37" t="n">
        <v>1</v>
      </c>
    </row>
    <row r="38">
      <c r="A38" s="8" t="n">
        <v>30.5</v>
      </c>
      <c r="B38" s="8" t="n">
        <v>13</v>
      </c>
      <c r="C38" s="8" t="inlineStr">
        <is>
          <t>муж</t>
        </is>
      </c>
      <c r="E38" s="108">
        <f>17</f>
        <v/>
      </c>
      <c r="F38" s="8" t="n">
        <v>30.5</v>
      </c>
      <c r="G38" s="8" t="n">
        <v>13</v>
      </c>
      <c r="H38" s="115">
        <f>IF(C38="муж",1,IF(C38="жен",0,"ошибка"))</f>
        <v/>
      </c>
      <c r="I38" s="79">
        <f>$M$17+$M$18*G38+$M$19*H38</f>
        <v/>
      </c>
      <c r="J38" s="79">
        <f>F38-I38</f>
        <v/>
      </c>
      <c r="K38" s="80">
        <f>IF($M$7=0,"",J38/$M$7)</f>
        <v/>
      </c>
      <c r="L38" s="86">
        <f>14</f>
        <v/>
      </c>
      <c r="M38" s="87">
        <f>I35</f>
        <v/>
      </c>
      <c r="N38" s="87">
        <f>J35</f>
        <v/>
      </c>
      <c r="O38" s="88">
        <f>K35</f>
        <v/>
      </c>
      <c r="P38" s="89">
        <f>IF(ABS(K35)&gt;2,"да","нет")</f>
        <v/>
      </c>
      <c r="BY38" t="n">
        <v>1</v>
      </c>
    </row>
    <row r="39">
      <c r="A39" s="7" t="n">
        <v>25.2</v>
      </c>
      <c r="B39" s="7" t="n">
        <v>10</v>
      </c>
      <c r="C39" s="7" t="inlineStr">
        <is>
          <t>жен</t>
        </is>
      </c>
      <c r="E39" s="108">
        <f>18</f>
        <v/>
      </c>
      <c r="F39" s="7" t="n">
        <v>25.2</v>
      </c>
      <c r="G39" s="7" t="n">
        <v>10</v>
      </c>
      <c r="H39" s="114">
        <f>IF(C39="муж",1,IF(C39="жен",0,"ошибка"))</f>
        <v/>
      </c>
      <c r="I39" s="79">
        <f>$M$17+$M$18*G39+$M$19*H39</f>
        <v/>
      </c>
      <c r="J39" s="79">
        <f>F39-I39</f>
        <v/>
      </c>
      <c r="K39" s="80">
        <f>IF($M$7=0,"",J39/$M$7)</f>
        <v/>
      </c>
      <c r="L39" s="86">
        <f>15</f>
        <v/>
      </c>
      <c r="M39" s="87">
        <f>I36</f>
        <v/>
      </c>
      <c r="N39" s="87">
        <f>J36</f>
        <v/>
      </c>
      <c r="O39" s="88">
        <f>K36</f>
        <v/>
      </c>
      <c r="P39" s="89">
        <f>IF(ABS(K36)&gt;2,"да","нет")</f>
        <v/>
      </c>
      <c r="BY39" t="n">
        <v>0</v>
      </c>
    </row>
    <row r="40">
      <c r="A40" s="7" t="n">
        <v>25.2</v>
      </c>
      <c r="B40" s="7" t="n">
        <v>12</v>
      </c>
      <c r="C40" s="7" t="inlineStr">
        <is>
          <t>жен</t>
        </is>
      </c>
      <c r="E40" s="108">
        <f>19</f>
        <v/>
      </c>
      <c r="F40" s="7" t="n">
        <v>25.2</v>
      </c>
      <c r="G40" s="7" t="n">
        <v>12</v>
      </c>
      <c r="H40" s="114">
        <f>IF(C40="муж",1,IF(C40="жен",0,"ошибка"))</f>
        <v/>
      </c>
      <c r="I40" s="79">
        <f>$M$17+$M$18*G40+$M$19*H40</f>
        <v/>
      </c>
      <c r="J40" s="79">
        <f>F40-I40</f>
        <v/>
      </c>
      <c r="K40" s="80">
        <f>IF($M$7=0,"",J40/$M$7)</f>
        <v/>
      </c>
      <c r="L40" s="86">
        <f>16</f>
        <v/>
      </c>
      <c r="M40" s="87">
        <f>I37</f>
        <v/>
      </c>
      <c r="N40" s="87">
        <f>J37</f>
        <v/>
      </c>
      <c r="O40" s="88">
        <f>K37</f>
        <v/>
      </c>
      <c r="P40" s="89">
        <f>IF(ABS(K37)&gt;2,"да","нет")</f>
        <v/>
      </c>
    </row>
    <row r="41">
      <c r="A41" s="7" t="n">
        <v>41.7</v>
      </c>
      <c r="B41" s="7" t="n">
        <v>3</v>
      </c>
      <c r="C41" s="7" t="inlineStr">
        <is>
          <t>жен</t>
        </is>
      </c>
      <c r="E41" s="108">
        <f>20</f>
        <v/>
      </c>
      <c r="F41" s="7" t="n">
        <v>41.7</v>
      </c>
      <c r="G41" s="7" t="n">
        <v>3</v>
      </c>
      <c r="H41" s="114">
        <f>IF(C41="муж",1,IF(C41="жен",0,"ошибка"))</f>
        <v/>
      </c>
      <c r="I41" s="79">
        <f>$M$17+$M$18*G41+$M$19*H41</f>
        <v/>
      </c>
      <c r="J41" s="79">
        <f>F41-I41</f>
        <v/>
      </c>
      <c r="K41" s="80">
        <f>IF($M$7=0,"",J41/$M$7)</f>
        <v/>
      </c>
      <c r="L41" s="86">
        <f>17</f>
        <v/>
      </c>
      <c r="M41" s="87">
        <f>I38</f>
        <v/>
      </c>
      <c r="N41" s="87">
        <f>J38</f>
        <v/>
      </c>
      <c r="O41" s="88">
        <f>K38</f>
        <v/>
      </c>
      <c r="P41" s="89">
        <f>IF(ABS(K38)&gt;2,"да","нет")</f>
        <v/>
      </c>
    </row>
    <row r="42">
      <c r="A42" s="7" t="n">
        <v>31.2</v>
      </c>
      <c r="B42" s="7" t="n">
        <v>8</v>
      </c>
      <c r="C42" s="7" t="inlineStr">
        <is>
          <t>жен</t>
        </is>
      </c>
      <c r="E42" s="108">
        <f>21</f>
        <v/>
      </c>
      <c r="F42" s="7" t="n">
        <v>31.2</v>
      </c>
      <c r="G42" s="7" t="n">
        <v>8</v>
      </c>
      <c r="H42" s="114">
        <f>IF(C42="муж",1,IF(C42="жен",0,"ошибка"))</f>
        <v/>
      </c>
      <c r="I42" s="79">
        <f>$M$17+$M$18*G42+$M$19*H42</f>
        <v/>
      </c>
      <c r="J42" s="79">
        <f>F42-I42</f>
        <v/>
      </c>
      <c r="K42" s="80">
        <f>IF($M$7=0,"",J42/$M$7)</f>
        <v/>
      </c>
      <c r="L42" s="86">
        <f>18</f>
        <v/>
      </c>
      <c r="M42" s="87">
        <f>I39</f>
        <v/>
      </c>
      <c r="N42" s="87">
        <f>J39</f>
        <v/>
      </c>
      <c r="O42" s="88">
        <f>K39</f>
        <v/>
      </c>
      <c r="P42" s="89">
        <f>IF(ABS(K39)&gt;2,"да","нет")</f>
        <v/>
      </c>
    </row>
    <row r="43">
      <c r="A43" s="7" t="n">
        <v>30.2</v>
      </c>
      <c r="B43" s="7" t="n">
        <v>6</v>
      </c>
      <c r="C43" s="7" t="inlineStr">
        <is>
          <t>жен</t>
        </is>
      </c>
      <c r="E43" s="108">
        <f>22</f>
        <v/>
      </c>
      <c r="F43" s="7" t="n">
        <v>30.2</v>
      </c>
      <c r="G43" s="7" t="n">
        <v>6</v>
      </c>
      <c r="H43" s="114">
        <f>IF(C43="муж",1,IF(C43="жен",0,"ошибка"))</f>
        <v/>
      </c>
      <c r="I43" s="79">
        <f>$M$17+$M$18*G43+$M$19*H43</f>
        <v/>
      </c>
      <c r="J43" s="79">
        <f>F43-I43</f>
        <v/>
      </c>
      <c r="K43" s="80">
        <f>IF($M$7=0,"",J43/$M$7)</f>
        <v/>
      </c>
      <c r="L43" s="86">
        <f>19</f>
        <v/>
      </c>
      <c r="M43" s="87">
        <f>I40</f>
        <v/>
      </c>
      <c r="N43" s="87">
        <f>J40</f>
        <v/>
      </c>
      <c r="O43" s="88">
        <f>K40</f>
        <v/>
      </c>
      <c r="P43" s="89">
        <f>IF(ABS(K40)&gt;2,"да","нет")</f>
        <v/>
      </c>
    </row>
    <row r="44">
      <c r="A44" s="7" t="n">
        <v>30.7</v>
      </c>
      <c r="B44" s="7" t="n">
        <v>7</v>
      </c>
      <c r="C44" s="7" t="inlineStr">
        <is>
          <t>жен</t>
        </is>
      </c>
      <c r="E44" s="108">
        <f>23</f>
        <v/>
      </c>
      <c r="F44" s="7" t="n">
        <v>30.7</v>
      </c>
      <c r="G44" s="7" t="n">
        <v>7</v>
      </c>
      <c r="H44" s="114">
        <f>IF(C44="муж",1,IF(C44="жен",0,"ошибка"))</f>
        <v/>
      </c>
      <c r="I44" s="79">
        <f>$M$17+$M$18*G44+$M$19*H44</f>
        <v/>
      </c>
      <c r="J44" s="79">
        <f>F44-I44</f>
        <v/>
      </c>
      <c r="K44" s="80">
        <f>IF($M$7=0,"",J44/$M$7)</f>
        <v/>
      </c>
      <c r="L44" s="86">
        <f>20</f>
        <v/>
      </c>
      <c r="M44" s="87">
        <f>I41</f>
        <v/>
      </c>
      <c r="N44" s="87">
        <f>J41</f>
        <v/>
      </c>
      <c r="O44" s="88">
        <f>K41</f>
        <v/>
      </c>
      <c r="P44" s="89">
        <f>IF(ABS(K41)&gt;2,"да","нет")</f>
        <v/>
      </c>
    </row>
    <row r="45">
      <c r="A45" s="7" t="n">
        <v>13.7</v>
      </c>
      <c r="B45" s="7" t="n">
        <v>15</v>
      </c>
      <c r="C45" s="7" t="inlineStr">
        <is>
          <t>жен</t>
        </is>
      </c>
      <c r="E45" s="108">
        <f>24</f>
        <v/>
      </c>
      <c r="F45" s="7" t="n">
        <v>13.7</v>
      </c>
      <c r="G45" s="7" t="n">
        <v>15</v>
      </c>
      <c r="H45" s="114">
        <f>IF(C45="муж",1,IF(C45="жен",0,"ошибка"))</f>
        <v/>
      </c>
      <c r="I45" s="79">
        <f>$M$17+$M$18*G45+$M$19*H45</f>
        <v/>
      </c>
      <c r="J45" s="79">
        <f>F45-I45</f>
        <v/>
      </c>
      <c r="K45" s="80">
        <f>IF($M$7=0,"",J45/$M$7)</f>
        <v/>
      </c>
      <c r="L45" s="86">
        <f>21</f>
        <v/>
      </c>
      <c r="M45" s="87">
        <f>I42</f>
        <v/>
      </c>
      <c r="N45" s="87">
        <f>J42</f>
        <v/>
      </c>
      <c r="O45" s="88">
        <f>K42</f>
        <v/>
      </c>
      <c r="P45" s="89">
        <f>IF(ABS(K42)&gt;2,"да","нет")</f>
        <v/>
      </c>
    </row>
    <row r="46">
      <c r="A46" s="7" t="n">
        <v>36.5</v>
      </c>
      <c r="B46" s="7" t="n">
        <v>9</v>
      </c>
      <c r="C46" s="7" t="inlineStr">
        <is>
          <t>муж</t>
        </is>
      </c>
      <c r="E46" s="108">
        <f>25</f>
        <v/>
      </c>
      <c r="F46" s="7" t="n">
        <v>36.5</v>
      </c>
      <c r="G46" s="7" t="n">
        <v>9</v>
      </c>
      <c r="H46" s="114">
        <f>IF(C46="муж",1,IF(C46="жен",0,"ошибка"))</f>
        <v/>
      </c>
      <c r="I46" s="79">
        <f>$M$17+$M$18*G46+$M$19*H46</f>
        <v/>
      </c>
      <c r="J46" s="79">
        <f>F46-I46</f>
        <v/>
      </c>
      <c r="K46" s="80">
        <f>IF($M$7=0,"",J46/$M$7)</f>
        <v/>
      </c>
      <c r="L46" s="86">
        <f>22</f>
        <v/>
      </c>
      <c r="M46" s="87">
        <f>I43</f>
        <v/>
      </c>
      <c r="N46" s="87">
        <f>J43</f>
        <v/>
      </c>
      <c r="O46" s="88">
        <f>K43</f>
        <v/>
      </c>
      <c r="P46" s="89">
        <f>IF(ABS(K43)&gt;2,"да","нет")</f>
        <v/>
      </c>
      <c r="BY46" t="n">
        <v>1</v>
      </c>
    </row>
    <row r="47">
      <c r="A47" s="7" t="n">
        <v>39.5</v>
      </c>
      <c r="B47" s="7" t="n">
        <v>3</v>
      </c>
      <c r="C47" s="7" t="inlineStr">
        <is>
          <t>муж</t>
        </is>
      </c>
      <c r="E47" s="108">
        <f>26</f>
        <v/>
      </c>
      <c r="F47" s="7" t="n">
        <v>39.5</v>
      </c>
      <c r="G47" s="7" t="n">
        <v>3</v>
      </c>
      <c r="H47" s="114">
        <f>IF(C47="муж",1,IF(C47="жен",0,"ошибка"))</f>
        <v/>
      </c>
      <c r="I47" s="79">
        <f>$M$17+$M$18*G47+$M$19*H47</f>
        <v/>
      </c>
      <c r="J47" s="79">
        <f>F47-I47</f>
        <v/>
      </c>
      <c r="K47" s="80">
        <f>IF($M$7=0,"",J47/$M$7)</f>
        <v/>
      </c>
      <c r="L47" s="86">
        <f>23</f>
        <v/>
      </c>
      <c r="M47" s="87">
        <f>I44</f>
        <v/>
      </c>
      <c r="N47" s="87">
        <f>J44</f>
        <v/>
      </c>
      <c r="O47" s="88">
        <f>K44</f>
        <v/>
      </c>
      <c r="P47" s="89">
        <f>IF(ABS(K44)&gt;2,"да","нет")</f>
        <v/>
      </c>
      <c r="BY47" t="n">
        <v>1</v>
      </c>
    </row>
    <row r="48">
      <c r="A48" s="7" t="n">
        <v>27</v>
      </c>
      <c r="B48" s="7" t="n">
        <v>8</v>
      </c>
      <c r="C48" s="7" t="inlineStr">
        <is>
          <t>муж</t>
        </is>
      </c>
      <c r="E48" s="108">
        <f>27</f>
        <v/>
      </c>
      <c r="F48" s="7" t="n">
        <v>27</v>
      </c>
      <c r="G48" s="7" t="n">
        <v>8</v>
      </c>
      <c r="H48" s="114">
        <f>IF(C48="муж",1,IF(C48="жен",0,"ошибка"))</f>
        <v/>
      </c>
      <c r="I48" s="79">
        <f>$M$17+$M$18*G48+$M$19*H48</f>
        <v/>
      </c>
      <c r="J48" s="79">
        <f>F48-I48</f>
        <v/>
      </c>
      <c r="K48" s="80">
        <f>IF($M$7=0,"",J48/$M$7)</f>
        <v/>
      </c>
      <c r="L48" s="86">
        <f>24</f>
        <v/>
      </c>
      <c r="M48" s="87">
        <f>I45</f>
        <v/>
      </c>
      <c r="N48" s="87">
        <f>J45</f>
        <v/>
      </c>
      <c r="O48" s="88">
        <f>K45</f>
        <v/>
      </c>
      <c r="P48" s="89">
        <f>IF(ABS(K45)&gt;2,"да","нет")</f>
        <v/>
      </c>
      <c r="BY48" t="n">
        <v>1</v>
      </c>
    </row>
    <row r="49">
      <c r="A49" s="7" t="n">
        <v>25.7</v>
      </c>
      <c r="B49" s="7" t="n">
        <v>15</v>
      </c>
      <c r="C49" s="7" t="inlineStr">
        <is>
          <t>жен</t>
        </is>
      </c>
      <c r="E49" s="108">
        <f>28</f>
        <v/>
      </c>
      <c r="F49" s="7" t="n">
        <v>25.7</v>
      </c>
      <c r="G49" s="7" t="n">
        <v>15</v>
      </c>
      <c r="H49" s="114">
        <f>IF(C49="муж",1,IF(C49="жен",0,"ошибка"))</f>
        <v/>
      </c>
      <c r="I49" s="79">
        <f>$M$17+$M$18*G49+$M$19*H49</f>
        <v/>
      </c>
      <c r="J49" s="79">
        <f>F49-I49</f>
        <v/>
      </c>
      <c r="K49" s="80">
        <f>IF($M$7=0,"",J49/$M$7)</f>
        <v/>
      </c>
      <c r="L49" s="86">
        <f>25</f>
        <v/>
      </c>
      <c r="M49" s="87">
        <f>I46</f>
        <v/>
      </c>
      <c r="N49" s="87">
        <f>J46</f>
        <v/>
      </c>
      <c r="O49" s="88">
        <f>K46</f>
        <v/>
      </c>
      <c r="P49" s="89">
        <f>IF(ABS(K46)&gt;2,"да","нет")</f>
        <v/>
      </c>
      <c r="BY49" t="n">
        <v>0</v>
      </c>
    </row>
    <row r="50">
      <c r="A50" s="7" t="n">
        <v>30</v>
      </c>
      <c r="B50" s="7" t="n">
        <v>6</v>
      </c>
      <c r="C50" s="7" t="inlineStr">
        <is>
          <t>муж</t>
        </is>
      </c>
      <c r="E50" s="108">
        <f>29</f>
        <v/>
      </c>
      <c r="F50" s="7" t="n">
        <v>30</v>
      </c>
      <c r="G50" s="7" t="n">
        <v>6</v>
      </c>
      <c r="H50" s="114">
        <f>IF(C50="муж",1,IF(C50="жен",0,"ошибка"))</f>
        <v/>
      </c>
      <c r="I50" s="79">
        <f>$M$17+$M$18*G50+$M$19*H50</f>
        <v/>
      </c>
      <c r="J50" s="79">
        <f>F50-I50</f>
        <v/>
      </c>
      <c r="K50" s="80">
        <f>IF($M$7=0,"",J50/$M$7)</f>
        <v/>
      </c>
      <c r="L50" s="86">
        <f>26</f>
        <v/>
      </c>
      <c r="M50" s="87">
        <f>I47</f>
        <v/>
      </c>
      <c r="N50" s="87">
        <f>J47</f>
        <v/>
      </c>
      <c r="O50" s="88">
        <f>K47</f>
        <v/>
      </c>
      <c r="P50" s="89">
        <f>IF(ABS(K47)&gt;2,"да","нет")</f>
        <v/>
      </c>
      <c r="BY50" t="n">
        <v>1</v>
      </c>
    </row>
    <row r="51">
      <c r="A51" s="7" t="n">
        <v>43.5</v>
      </c>
      <c r="B51" s="7" t="n">
        <v>3</v>
      </c>
      <c r="C51" s="7" t="inlineStr">
        <is>
          <t>муж</t>
        </is>
      </c>
      <c r="E51" s="108">
        <f>30</f>
        <v/>
      </c>
      <c r="F51" s="7" t="n">
        <v>43.5</v>
      </c>
      <c r="G51" s="7" t="n">
        <v>3</v>
      </c>
      <c r="H51" s="114">
        <f>IF(C51="муж",1,IF(C51="жен",0,"ошибка"))</f>
        <v/>
      </c>
      <c r="I51" s="79">
        <f>$M$17+$M$18*G51+$M$19*H51</f>
        <v/>
      </c>
      <c r="J51" s="79">
        <f>F51-I51</f>
        <v/>
      </c>
      <c r="K51" s="80">
        <f>IF($M$7=0,"",J51/$M$7)</f>
        <v/>
      </c>
      <c r="L51" s="86">
        <f>27</f>
        <v/>
      </c>
      <c r="M51" s="87">
        <f>I48</f>
        <v/>
      </c>
      <c r="N51" s="87">
        <f>J48</f>
        <v/>
      </c>
      <c r="O51" s="88">
        <f>K48</f>
        <v/>
      </c>
      <c r="P51" s="89">
        <f>IF(ABS(K48)&gt;2,"да","нет")</f>
        <v/>
      </c>
      <c r="BY51" t="n">
        <v>1</v>
      </c>
    </row>
    <row r="52">
      <c r="A52" s="8" t="n">
        <v>42.5</v>
      </c>
      <c r="B52" s="8" t="n">
        <v>5</v>
      </c>
      <c r="C52" s="8" t="inlineStr">
        <is>
          <t>муж</t>
        </is>
      </c>
      <c r="E52" s="108">
        <f>31</f>
        <v/>
      </c>
      <c r="F52" s="8" t="n">
        <v>42.5</v>
      </c>
      <c r="G52" s="8" t="n">
        <v>5</v>
      </c>
      <c r="H52" s="115">
        <f>IF(C52="муж",1,IF(C52="жен",0,"ошибка"))</f>
        <v/>
      </c>
      <c r="I52" s="79">
        <f>$M$17+$M$18*G52+$M$19*H52</f>
        <v/>
      </c>
      <c r="J52" s="79">
        <f>F52-I52</f>
        <v/>
      </c>
      <c r="K52" s="80">
        <f>IF($M$7=0,"",J52/$M$7)</f>
        <v/>
      </c>
      <c r="L52" s="86">
        <f>28</f>
        <v/>
      </c>
      <c r="M52" s="87">
        <f>I49</f>
        <v/>
      </c>
      <c r="N52" s="87">
        <f>J49</f>
        <v/>
      </c>
      <c r="O52" s="88">
        <f>K49</f>
        <v/>
      </c>
      <c r="P52" s="89">
        <f>IF(ABS(K49)&gt;2,"да","нет")</f>
        <v/>
      </c>
      <c r="BY52" t="n">
        <v>1</v>
      </c>
    </row>
    <row r="53">
      <c r="A53" s="7" t="n">
        <v>38</v>
      </c>
      <c r="B53" s="7" t="n">
        <v>2</v>
      </c>
      <c r="C53" s="7" t="inlineStr">
        <is>
          <t>муж</t>
        </is>
      </c>
      <c r="E53" s="108">
        <f>32</f>
        <v/>
      </c>
      <c r="F53" s="7" t="n">
        <v>38</v>
      </c>
      <c r="G53" s="7" t="n">
        <v>2</v>
      </c>
      <c r="H53" s="114">
        <f>IF(C53="муж",1,IF(C53="жен",0,"ошибка"))</f>
        <v/>
      </c>
      <c r="I53" s="79">
        <f>$M$17+$M$18*G53+$M$19*H53</f>
        <v/>
      </c>
      <c r="J53" s="79">
        <f>F53-I53</f>
        <v/>
      </c>
      <c r="K53" s="80">
        <f>IF($M$7=0,"",J53/$M$7)</f>
        <v/>
      </c>
      <c r="L53" s="86">
        <f>29</f>
        <v/>
      </c>
      <c r="M53" s="87">
        <f>I50</f>
        <v/>
      </c>
      <c r="N53" s="87">
        <f>J50</f>
        <v/>
      </c>
      <c r="O53" s="88">
        <f>K50</f>
        <v/>
      </c>
      <c r="P53" s="89">
        <f>IF(ABS(K50)&gt;2,"да","нет")</f>
        <v/>
      </c>
      <c r="BY53" t="n">
        <v>1</v>
      </c>
    </row>
    <row r="54">
      <c r="A54" s="8" t="n">
        <v>25.2</v>
      </c>
      <c r="B54" s="8" t="n">
        <v>10</v>
      </c>
      <c r="C54" s="8" t="inlineStr">
        <is>
          <t>жен</t>
        </is>
      </c>
      <c r="E54" s="108">
        <f>33</f>
        <v/>
      </c>
      <c r="F54" s="8" t="n">
        <v>25.2</v>
      </c>
      <c r="G54" s="8" t="n">
        <v>10</v>
      </c>
      <c r="H54" s="115">
        <f>IF(C54="муж",1,IF(C54="жен",0,"ошибка"))</f>
        <v/>
      </c>
      <c r="I54" s="79">
        <f>$M$17+$M$18*G54+$M$19*H54</f>
        <v/>
      </c>
      <c r="J54" s="79">
        <f>F54-I54</f>
        <v/>
      </c>
      <c r="K54" s="80">
        <f>IF($M$7=0,"",J54/$M$7)</f>
        <v/>
      </c>
      <c r="L54" s="86">
        <f>30</f>
        <v/>
      </c>
      <c r="M54" s="87">
        <f>I51</f>
        <v/>
      </c>
      <c r="N54" s="87">
        <f>J51</f>
        <v/>
      </c>
      <c r="O54" s="88">
        <f>K51</f>
        <v/>
      </c>
      <c r="P54" s="89">
        <f>IF(ABS(K51)&gt;2,"да","нет")</f>
        <v/>
      </c>
      <c r="BY54" t="n">
        <v>0</v>
      </c>
    </row>
    <row r="55">
      <c r="A55" s="7" t="n">
        <v>31.7</v>
      </c>
      <c r="B55" s="7" t="n">
        <v>9</v>
      </c>
      <c r="C55" s="7" t="inlineStr">
        <is>
          <t>жен</t>
        </is>
      </c>
      <c r="E55" s="108">
        <f>34</f>
        <v/>
      </c>
      <c r="F55" s="7" t="n">
        <v>31.7</v>
      </c>
      <c r="G55" s="7" t="n">
        <v>9</v>
      </c>
      <c r="H55" s="114">
        <f>IF(C55="муж",1,IF(C55="жен",0,"ошибка"))</f>
        <v/>
      </c>
      <c r="I55" s="79">
        <f>$M$17+$M$18*G55+$M$19*H55</f>
        <v/>
      </c>
      <c r="J55" s="79">
        <f>F55-I55</f>
        <v/>
      </c>
      <c r="K55" s="80">
        <f>IF($M$7=0,"",J55/$M$7)</f>
        <v/>
      </c>
      <c r="L55" s="86">
        <f>31</f>
        <v/>
      </c>
      <c r="M55" s="87">
        <f>I52</f>
        <v/>
      </c>
      <c r="N55" s="87">
        <f>J52</f>
        <v/>
      </c>
      <c r="O55" s="88">
        <f>K52</f>
        <v/>
      </c>
      <c r="P55" s="89">
        <f>IF(ABS(K52)&gt;2,"да","нет")</f>
        <v/>
      </c>
      <c r="BY55" t="n">
        <v>0</v>
      </c>
    </row>
    <row r="56">
      <c r="A56" s="8" t="n">
        <v>26.7</v>
      </c>
      <c r="B56" s="8" t="n">
        <v>13</v>
      </c>
      <c r="C56" s="8" t="inlineStr">
        <is>
          <t>жен</t>
        </is>
      </c>
      <c r="E56" s="108">
        <f>35</f>
        <v/>
      </c>
      <c r="F56" s="8" t="n">
        <v>26.7</v>
      </c>
      <c r="G56" s="8" t="n">
        <v>13</v>
      </c>
      <c r="H56" s="115">
        <f>IF(C56="муж",1,IF(C56="жен",0,"ошибка"))</f>
        <v/>
      </c>
      <c r="I56" s="79">
        <f>$M$17+$M$18*G56+$M$19*H56</f>
        <v/>
      </c>
      <c r="J56" s="79">
        <f>F56-I56</f>
        <v/>
      </c>
      <c r="K56" s="80">
        <f>IF($M$7=0,"",J56/$M$7)</f>
        <v/>
      </c>
      <c r="L56" s="86">
        <f>32</f>
        <v/>
      </c>
      <c r="M56" s="87">
        <f>I53</f>
        <v/>
      </c>
      <c r="N56" s="87">
        <f>J53</f>
        <v/>
      </c>
      <c r="O56" s="88">
        <f>K53</f>
        <v/>
      </c>
      <c r="P56" s="89">
        <f>IF(ABS(K53)&gt;2,"да","нет")</f>
        <v/>
      </c>
      <c r="BY56" t="n">
        <v>0</v>
      </c>
    </row>
    <row r="57">
      <c r="A57" s="7" t="n">
        <v>30.7</v>
      </c>
      <c r="B57" s="7" t="n">
        <v>5</v>
      </c>
      <c r="C57" s="7" t="inlineStr">
        <is>
          <t>жен</t>
        </is>
      </c>
      <c r="E57" s="108">
        <f>36</f>
        <v/>
      </c>
      <c r="F57" s="7" t="n">
        <v>30.7</v>
      </c>
      <c r="G57" s="7" t="n">
        <v>5</v>
      </c>
      <c r="H57" s="114">
        <f>IF(C57="муж",1,IF(C57="жен",0,"ошибка"))</f>
        <v/>
      </c>
      <c r="I57" s="79">
        <f>$M$17+$M$18*G57+$M$19*H57</f>
        <v/>
      </c>
      <c r="J57" s="79">
        <f>F57-I57</f>
        <v/>
      </c>
      <c r="K57" s="80">
        <f>IF($M$7=0,"",J57/$M$7)</f>
        <v/>
      </c>
      <c r="L57" s="86">
        <f>33</f>
        <v/>
      </c>
      <c r="M57" s="87">
        <f>I54</f>
        <v/>
      </c>
      <c r="N57" s="87">
        <f>J54</f>
        <v/>
      </c>
      <c r="O57" s="88">
        <f>K54</f>
        <v/>
      </c>
      <c r="P57" s="89">
        <f>IF(ABS(K54)&gt;2,"да","нет")</f>
        <v/>
      </c>
      <c r="BY57" t="n">
        <v>0</v>
      </c>
    </row>
    <row r="58" ht="13.5" customHeight="1" s="49" thickBot="1">
      <c r="A58" s="9" t="n">
        <v>33.5</v>
      </c>
      <c r="B58" s="9" t="n">
        <v>9</v>
      </c>
      <c r="C58" s="9" t="inlineStr">
        <is>
          <t>муж</t>
        </is>
      </c>
      <c r="E58" s="108">
        <f>37</f>
        <v/>
      </c>
      <c r="F58" s="9" t="n">
        <v>33.5</v>
      </c>
      <c r="G58" s="9" t="n">
        <v>9</v>
      </c>
      <c r="H58" s="116">
        <f>IF(C58="муж",1,IF(C58="жен",0,"ошибка"))</f>
        <v/>
      </c>
      <c r="I58" s="79">
        <f>$M$17+$M$18*G58+$M$19*H58</f>
        <v/>
      </c>
      <c r="J58" s="79">
        <f>F58-I58</f>
        <v/>
      </c>
      <c r="K58" s="80">
        <f>IF($M$7=0,"",J58/$M$7)</f>
        <v/>
      </c>
      <c r="L58" s="86">
        <f>34</f>
        <v/>
      </c>
      <c r="M58" s="87">
        <f>I55</f>
        <v/>
      </c>
      <c r="N58" s="87">
        <f>J55</f>
        <v/>
      </c>
      <c r="O58" s="88">
        <f>K55</f>
        <v/>
      </c>
      <c r="P58" s="89">
        <f>IF(ABS(K55)&gt;2,"да","нет")</f>
        <v/>
      </c>
      <c r="BY58" t="n">
        <v>1</v>
      </c>
    </row>
    <row r="59" ht="13.5" customHeight="1" s="49" thickBot="1">
      <c r="L59" s="86">
        <f>35</f>
        <v/>
      </c>
      <c r="M59" s="87">
        <f>I56</f>
        <v/>
      </c>
      <c r="N59" s="87">
        <f>J56</f>
        <v/>
      </c>
      <c r="O59" s="88">
        <f>K56</f>
        <v/>
      </c>
      <c r="P59" s="89">
        <f>IF(ABS(K56)&gt;2,"да","нет")</f>
        <v/>
      </c>
      <c r="BY59" t="n">
        <v>0</v>
      </c>
    </row>
    <row r="60" ht="13.5" customFormat="1" customHeight="1" s="24" thickTop="1">
      <c r="A60" s="23" t="inlineStr">
        <is>
          <t xml:space="preserve">1. Записать коэффициенты регрессии. </t>
        </is>
      </c>
      <c r="L60" s="86">
        <f>36</f>
        <v/>
      </c>
      <c r="M60" s="87">
        <f>I57</f>
        <v/>
      </c>
      <c r="N60" s="87">
        <f>J57</f>
        <v/>
      </c>
      <c r="O60" s="88">
        <f>K57</f>
        <v/>
      </c>
      <c r="P60" s="89">
        <f>IF(ABS(K57)&gt;2,"да","нет")</f>
        <v/>
      </c>
    </row>
    <row r="61" ht="13.5" customHeight="1" s="49" thickBot="1">
      <c r="L61" s="86">
        <f>37</f>
        <v/>
      </c>
      <c r="M61" s="87">
        <f>I58</f>
        <v/>
      </c>
      <c r="N61" s="87">
        <f>J58</f>
        <v/>
      </c>
      <c r="O61" s="88">
        <f>K58</f>
        <v/>
      </c>
      <c r="P61" s="89">
        <f>IF(ABS(K58)&gt;2,"да","нет")</f>
        <v/>
      </c>
    </row>
    <row r="62" ht="24.75" customHeight="1" s="49" thickBot="1">
      <c r="A62" s="25" t="inlineStr">
        <is>
          <t>Коэффициенты регрессии</t>
        </is>
      </c>
      <c r="B62" s="26" t="inlineStr">
        <is>
          <t>a</t>
        </is>
      </c>
      <c r="C62" s="27" t="inlineStr">
        <is>
          <t>b1</t>
        </is>
      </c>
      <c r="D62" s="27" t="inlineStr">
        <is>
          <t>b2</t>
        </is>
      </c>
    </row>
    <row r="63" ht="14.25" customHeight="1" s="49">
      <c r="A63" s="28" t="inlineStr">
        <is>
          <t>Значение</t>
        </is>
      </c>
      <c r="B63" s="90">
        <f>ROUND(M17,2)</f>
        <v/>
      </c>
      <c r="C63" s="91">
        <f>ROUND(M18,2)</f>
        <v/>
      </c>
      <c r="D63" s="91">
        <f>ROUND(M19,2)</f>
        <v/>
      </c>
      <c r="L63" s="85" t="inlineStr">
        <is>
          <t>Критерий выброса: |стандартный остаток e/S| &gt; 2.</t>
        </is>
      </c>
      <c r="M63" s="77" t="n"/>
      <c r="N63" s="77" t="n"/>
      <c r="O63" s="77" t="n"/>
      <c r="P63" s="77" t="n"/>
      <c r="Q63" s="77" t="n"/>
      <c r="R63" s="73" t="n"/>
    </row>
    <row r="64" ht="32" customHeight="1" s="49">
      <c r="A64" s="68" t="inlineStr">
        <is>
          <t>Уравнение</t>
        </is>
      </c>
      <c r="B64" s="117">
        <f>CONCATENATE("y = ",TEXT(B63,"0.00"),IF(C63&lt;0," − "," + "),TEXT(ABS(C63),"0.00"),"·x1",IF(D63&lt;0," − "," + "),TEXT(ABS(D63),"0.00"),"·x2;  x1 — возраст, x2 — пол (1 мужчина, 0 женщина)")</f>
        <v/>
      </c>
      <c r="C64" s="77" t="n"/>
      <c r="D64" s="77" t="n"/>
      <c r="E64" s="77" t="n"/>
      <c r="F64" s="77" t="n"/>
      <c r="G64" s="77" t="n"/>
      <c r="H64" s="77" t="n"/>
      <c r="I64" s="77" t="n"/>
      <c r="J64" s="77" t="n"/>
      <c r="K64" s="73" t="n"/>
      <c r="L64" s="74" t="inlineStr">
        <is>
          <t>Количество статистических выбросов</t>
        </is>
      </c>
      <c r="M64" s="76">
        <f>COUNTIF(P25:P61,"да")</f>
        <v/>
      </c>
    </row>
    <row r="66" ht="12.75" customHeight="1" s="49">
      <c r="A66" s="58" t="inlineStr">
        <is>
          <t>Записать (коротко)</t>
        </is>
      </c>
      <c r="L66" s="72" t="inlineStr">
        <is>
          <t>ИТОГОВАЯ МОДЕЛЬ: фактор «пол» исключён (α = 5%)</t>
        </is>
      </c>
      <c r="M66" s="77" t="n"/>
      <c r="N66" s="77" t="n"/>
      <c r="O66" s="77" t="n"/>
      <c r="P66" s="77" t="n"/>
      <c r="Q66" s="77" t="n"/>
      <c r="R66" s="73" t="n"/>
    </row>
    <row r="67" ht="52" customHeight="1" s="49">
      <c r="A67" s="95">
        <f>"1) Экономический смысл найденного коэффициента a: a = "&amp;TEXT(B63,"0.00")&amp;" км — средний пробег на 10 л топлива у автомобиля нулевого возраста, если водитель женщина (d = 0). Это свободный член при базовой категории «женщина»."</f>
        <v/>
      </c>
      <c r="B67" s="77" t="n"/>
      <c r="C67" s="77" t="n"/>
      <c r="D67" s="77" t="n"/>
      <c r="E67" s="77" t="n"/>
      <c r="F67" s="77" t="n"/>
      <c r="G67" s="77" t="n"/>
      <c r="H67" s="77" t="n"/>
      <c r="I67" s="77" t="n"/>
      <c r="J67" s="77" t="n"/>
      <c r="K67" s="73" t="n"/>
      <c r="L67" s="74" t="inlineStr">
        <is>
          <t>a (пробег нового автомобиля, без различия по полу)</t>
        </is>
      </c>
      <c r="M67" s="75">
        <f>INTERCEPT($F$22:$F$58,$G$22:$G$58)</f>
        <v/>
      </c>
    </row>
    <row r="68" ht="52" customHeight="1" s="49">
      <c r="A68" s="95">
        <f>"2) Экономический смысл найденного коэффициента b1: при увеличении возраста машины на 1 год пробег на 10 л в среднем снижается на "&amp;TEXT(ABS(C63),"0.00")&amp;" км при неизменном поле водителя. Отрицательный знак означает, что с возрастом расход топлива растёт."</f>
        <v/>
      </c>
      <c r="B68" s="77" t="n"/>
      <c r="C68" s="77" t="n"/>
      <c r="D68" s="77" t="n"/>
      <c r="E68" s="77" t="n"/>
      <c r="F68" s="77" t="n"/>
      <c r="G68" s="77" t="n"/>
      <c r="H68" s="77" t="n"/>
      <c r="I68" s="77" t="n"/>
      <c r="J68" s="77" t="n"/>
      <c r="K68" s="73" t="n"/>
      <c r="L68" s="74" t="inlineStr">
        <is>
          <t>b (возраст, лет)</t>
        </is>
      </c>
      <c r="M68" s="75">
        <f>SLOPE($F$22:$F$58,$G$22:$G$58)</f>
        <v/>
      </c>
    </row>
    <row r="69" ht="52" customHeight="1" s="49">
      <c r="A69" s="95">
        <f>"3) Экономический смысл найденного коэффициента b2: при том же возрасте мужчина в среднем проезжает на "&amp;TEXT(D63,"0.00")&amp;" км больше на каждые 10 л, чем женщина. Знак положительный, но на уровне значимости 5% эта разница статистически не подтверждена."</f>
        <v/>
      </c>
      <c r="B69" s="77" t="n"/>
      <c r="C69" s="77" t="n"/>
      <c r="D69" s="77" t="n"/>
      <c r="E69" s="77" t="n"/>
      <c r="F69" s="77" t="n"/>
      <c r="G69" s="77" t="n"/>
      <c r="H69" s="77" t="n"/>
      <c r="I69" s="77" t="n"/>
      <c r="J69" s="77" t="n"/>
      <c r="K69" s="73" t="n"/>
      <c r="L69" s="74" t="inlineStr">
        <is>
          <t>R-квадрат итоговой модели</t>
        </is>
      </c>
      <c r="M69" s="75">
        <f>RSQ($F$22:$F$58,$G$22:$G$58)</f>
        <v/>
      </c>
    </row>
    <row r="70" ht="13.5" customHeight="1" s="49" thickBot="1">
      <c r="L70" s="74" t="inlineStr">
        <is>
          <t>Стандартная ошибка</t>
        </is>
      </c>
      <c r="M70" s="75">
        <f>STEYX($F$22:$F$58,$G$22:$G$58)</f>
        <v/>
      </c>
    </row>
    <row r="71" ht="13.5" customFormat="1" customHeight="1" s="24" thickTop="1">
      <c r="A71" s="23" t="inlineStr">
        <is>
          <t>2. Проанализировать доверительные интервалы для коэффициентов регрессии:</t>
        </is>
      </c>
      <c r="L71" s="74" t="inlineStr">
        <is>
          <t>df остатка</t>
        </is>
      </c>
      <c r="M71" s="76">
        <f>COUNT($F$22:$F$58)-2</f>
        <v/>
      </c>
    </row>
    <row r="72" ht="13.5" customHeight="1" s="49" thickBot="1">
      <c r="L72" s="74" t="inlineStr">
        <is>
          <t>t-критическое</t>
        </is>
      </c>
      <c r="M72" s="75">
        <f>TINV(0.05,M71)</f>
        <v/>
      </c>
    </row>
    <row r="73" ht="24.75" customHeight="1" s="49" thickBot="1">
      <c r="A73" s="25" t="inlineStr">
        <is>
          <t>Коэффициенты регрессии</t>
        </is>
      </c>
      <c r="B73" s="26" t="inlineStr">
        <is>
          <t>a</t>
        </is>
      </c>
      <c r="C73" s="27" t="inlineStr">
        <is>
          <t>b1</t>
        </is>
      </c>
      <c r="D73" s="27" t="inlineStr">
        <is>
          <t>b2</t>
        </is>
      </c>
      <c r="L73" s="74" t="inlineStr">
        <is>
          <t>Стандартная ошибка b</t>
        </is>
      </c>
      <c r="M73" s="75">
        <f>M70/SQRT(DEVSQ($G$22:$G$58))</f>
        <v/>
      </c>
    </row>
    <row r="74" ht="14.25" customHeight="1" s="49">
      <c r="A74" s="31" t="inlineStr">
        <is>
          <t>Нижняя граница</t>
        </is>
      </c>
      <c r="B74" s="90">
        <f>ROUND(Q17,2)</f>
        <v/>
      </c>
      <c r="C74" s="91">
        <f>ROUND(Q18,2)</f>
        <v/>
      </c>
      <c r="D74" s="91">
        <f>ROUND(Q19,2)</f>
        <v/>
      </c>
      <c r="L74" s="74" t="inlineStr">
        <is>
          <t>t-статистика b</t>
        </is>
      </c>
      <c r="M74" s="83">
        <f>M68/M73</f>
        <v/>
      </c>
    </row>
    <row r="75" ht="14.25" customHeight="1" s="49">
      <c r="A75" s="31" t="inlineStr">
        <is>
          <t>Верхняя граница</t>
        </is>
      </c>
      <c r="B75" s="96">
        <f>ROUND(R17,2)</f>
        <v/>
      </c>
      <c r="C75" s="97">
        <f>ROUND(R18,2)</f>
        <v/>
      </c>
      <c r="D75" s="97">
        <f>ROUND(R19,2)</f>
        <v/>
      </c>
      <c r="L75" s="74" t="inlineStr">
        <is>
          <t>P-значение b</t>
        </is>
      </c>
      <c r="M75" s="84">
        <f>TDIST(ABS(M74),M71,2)</f>
        <v/>
      </c>
    </row>
    <row r="76">
      <c r="L76" s="74" t="inlineStr">
        <is>
          <t>Значимость F итоговой модели</t>
        </is>
      </c>
      <c r="M76" s="84">
        <f>FDIST((M69/(1-M69))*M71,1,M71)</f>
        <v/>
      </c>
    </row>
    <row r="77" ht="12.75" customHeight="1" s="49">
      <c r="A77" s="58" t="inlineStr">
        <is>
          <t>Записать (коротко)</t>
        </is>
      </c>
      <c r="L77" s="74" t="inlineStr">
        <is>
          <t>Нижняя 95% для b</t>
        </is>
      </c>
      <c r="M77" s="75">
        <f>M68-M72*M73</f>
        <v/>
      </c>
    </row>
    <row r="78" ht="44" customHeight="1" s="49">
      <c r="A78" s="95">
        <f>"1) Экономический смысл границ доверительного интервала коэффициента a: с вероятностью 95% истинное a находится от "&amp;TEXT(B74,"0.00")&amp;" до "&amp;TEXT(B75,"0.00")&amp;" км. Интервал не содержит нуля, свободный член значим."</f>
        <v/>
      </c>
      <c r="B78" s="77" t="n"/>
      <c r="C78" s="77" t="n"/>
      <c r="D78" s="77" t="n"/>
      <c r="E78" s="77" t="n"/>
      <c r="F78" s="77" t="n"/>
      <c r="G78" s="77" t="n"/>
      <c r="H78" s="77" t="n"/>
      <c r="I78" s="77" t="n"/>
      <c r="J78" s="77" t="n"/>
      <c r="K78" s="73" t="n"/>
      <c r="L78" s="74" t="inlineStr">
        <is>
          <t>Верхняя 95% для b</t>
        </is>
      </c>
      <c r="M78" s="75">
        <f>M68+M72*M73</f>
        <v/>
      </c>
    </row>
    <row r="79" ht="52" customHeight="1" s="49">
      <c r="A79" s="95">
        <f>"2) Экономический смысл границ доверительного интервала коэффициента b1: с вероятностью 95% дополнительный год изменяет пробег на 10 л на величину от "&amp;TEXT(C74,"0.00")&amp;" до "&amp;TEXT(C75,"0.00")&amp;" км. Интервал целиком отрицательный: возраст достоверно снижает пробег."</f>
        <v/>
      </c>
      <c r="B79" s="77" t="n"/>
      <c r="C79" s="77" t="n"/>
      <c r="D79" s="77" t="n"/>
      <c r="E79" s="77" t="n"/>
      <c r="F79" s="77" t="n"/>
      <c r="G79" s="77" t="n"/>
      <c r="H79" s="77" t="n"/>
      <c r="I79" s="77" t="n"/>
      <c r="J79" s="77" t="n"/>
      <c r="K79" s="73" t="n"/>
    </row>
    <row r="80" ht="52" customHeight="1" s="49">
      <c r="A80" s="95">
        <f>"3) Экономический смысл границ доверительного интервала коэффициента b2: с вероятностью 95% разница «мужчина минус женщина» составляет от "&amp;TEXT(D74,"0.00")&amp;" до "&amp;TEXT(D75,"0.00")&amp;" км. Интервал содержит нуль, поэтому отличие пола может отсутствовать."</f>
        <v/>
      </c>
      <c r="B80" s="77" t="n"/>
      <c r="C80" s="77" t="n"/>
      <c r="D80" s="77" t="n"/>
      <c r="E80" s="77" t="n"/>
      <c r="F80" s="77" t="n"/>
      <c r="G80" s="77" t="n"/>
      <c r="H80" s="77" t="n"/>
      <c r="I80" s="77" t="n"/>
      <c r="J80" s="77" t="n"/>
      <c r="K80" s="73" t="n"/>
      <c r="L80" s="74" t="inlineStr">
        <is>
          <t>Несовпадений исходной и преобразованной таблиц (Y и возраст)</t>
        </is>
      </c>
      <c r="M80" s="76">
        <f>SUMPRODUCT(--($A$22:$A$58&lt;&gt;$F$22:$F$58))+SUMPRODUCT(--($B$22:$B$58&lt;&gt;$G$22:$G$58))</f>
        <v/>
      </c>
    </row>
    <row r="81" ht="32" customHeight="1" s="49" thickBot="1">
      <c r="A81" s="57" t="n"/>
      <c r="B81" s="57" t="n"/>
      <c r="C81" s="57" t="n"/>
      <c r="D81" s="57" t="n"/>
      <c r="E81" s="57" t="n"/>
      <c r="L81" s="74" t="inlineStr">
        <is>
          <t>Ошибок кодировки d (мужчина должен быть 1, женщина — 0)</t>
        </is>
      </c>
      <c r="M81" s="76">
        <f>SUMPRODUCT(--($H$22:$H$58&lt;&gt;(($C$22:$C$58="муж")*1)))</f>
        <v/>
      </c>
    </row>
    <row r="82" ht="13.5" customFormat="1" customHeight="1" s="24" thickTop="1">
      <c r="A82" s="23" t="inlineStr">
        <is>
          <t>3. Проверить достоверность найденных коэффициентов:</t>
        </is>
      </c>
      <c r="L82" s="74" t="inlineStr">
        <is>
          <t>Мужчин / женщин</t>
        </is>
      </c>
      <c r="M82" s="76">
        <f>COUNTIF($C$22:$C$58,"муж")</f>
        <v/>
      </c>
      <c r="N82" s="76">
        <f>COUNTIF($C$22:$C$58,"жен")</f>
        <v/>
      </c>
    </row>
    <row r="83" ht="13.5" customHeight="1" s="49" thickBot="1"/>
    <row r="84" ht="24.75" customHeight="1" s="49" thickBot="1">
      <c r="A84" s="25" t="inlineStr">
        <is>
          <t>Коэффициенты регрессии</t>
        </is>
      </c>
      <c r="B84" s="26" t="inlineStr">
        <is>
          <t>a</t>
        </is>
      </c>
      <c r="C84" s="27" t="inlineStr">
        <is>
          <t>b1</t>
        </is>
      </c>
      <c r="D84" s="27" t="inlineStr">
        <is>
          <t>b2</t>
        </is>
      </c>
    </row>
    <row r="85" ht="14.25" customHeight="1" s="49">
      <c r="A85" s="31" t="inlineStr">
        <is>
          <t>Р-значение</t>
        </is>
      </c>
      <c r="B85" s="111">
        <f>P17</f>
        <v/>
      </c>
      <c r="C85" s="112">
        <f>P18</f>
        <v/>
      </c>
      <c r="D85" s="119">
        <f>P19</f>
        <v/>
      </c>
    </row>
    <row r="86" ht="42.6" customHeight="1" s="49" thickBot="1">
      <c r="A86" s="35" t="inlineStr">
        <is>
          <t>Вывод (достоверен/ недостоверен)</t>
        </is>
      </c>
      <c r="B86" s="100">
        <f>IF(ABS(O17)&gt;$M$21,"достоверен","недостоверен")</f>
        <v/>
      </c>
      <c r="C86" s="101">
        <f>IF(ABS(O18)&gt;$M$21,"достоверен","недостоверен")</f>
        <v/>
      </c>
      <c r="D86" s="101">
        <f>IF(ABS(O19)&gt;$M$21,"достоверен","недостоверен")</f>
        <v/>
      </c>
    </row>
    <row r="87" ht="48" customHeight="1" s="49" thickBot="1">
      <c r="A87" s="120" t="inlineStr">
        <is>
          <t>Влияет ли данный фактор на изменение  пробега на 10 л. бензина, и, как следствие, войдет ли данный фактор в уравнение регресии</t>
        </is>
      </c>
      <c r="B87" s="100">
        <f>IF(B85&lt;0.05,"да, остаётся","нет")</f>
        <v/>
      </c>
      <c r="C87" s="101">
        <f>IF(C85&lt;0.05,"да, входит","нет, исключить")</f>
        <v/>
      </c>
      <c r="D87" s="101">
        <f>IF(D85&lt;0.05,"да, входит","нет, исключить")</f>
        <v/>
      </c>
    </row>
    <row r="88" ht="64" customHeight="1" s="49" thickBot="1">
      <c r="A88" s="102">
        <f>"Обоснование исключения пола: p-value b2 = "&amp;TEXT(D85,"0.000")&amp;" &gt; 0,05; 95% доверительный интервал b2 содержит 0; |t| = "&amp;TEXT(ABS(O19),"0.00")&amp;" &lt; tкр = "&amp;TEXT($M$21,"0.00")&amp;". Частный F равен t² = "&amp;TEXT(O19^2,"0.00")&amp;" и незначим. Исключение пола снижает R² с "&amp;TEXT(B94,"0.00%")&amp;" до "&amp;TEXT($M$69,"0.00%")&amp;". При заданных 5% пол не входит в итоговое уравнение. Возраст высоко значим и остаётся. На уровне 10% пол был бы значим, поэтому решение относится именно к α = 5%."</f>
        <v/>
      </c>
      <c r="B88" s="77" t="n"/>
      <c r="C88" s="77" t="n"/>
      <c r="D88" s="77" t="n"/>
      <c r="E88" s="77" t="n"/>
      <c r="F88" s="77" t="n"/>
      <c r="G88" s="77" t="n"/>
      <c r="H88" s="77" t="n"/>
      <c r="I88" s="77" t="n"/>
      <c r="J88" s="77" t="n"/>
      <c r="K88" s="73" t="n"/>
    </row>
    <row r="89" ht="13.5" customFormat="1" customHeight="1" s="24" thickTop="1">
      <c r="A89" s="23" t="inlineStr">
        <is>
          <t>4. Определить тесноту связи в уравнении регресии:</t>
        </is>
      </c>
    </row>
    <row r="90" ht="13.5" customHeight="1" s="49" thickBot="1"/>
    <row r="91" ht="24" customHeight="1" s="49">
      <c r="A91" s="28" t="inlineStr">
        <is>
          <t>Коэффициент корреляции</t>
        </is>
      </c>
      <c r="B91" s="103">
        <f>M4</f>
        <v/>
      </c>
    </row>
    <row r="92" ht="24" customHeight="1" s="49">
      <c r="A92" s="37" t="inlineStr">
        <is>
          <t>Связь (тесная/слабая)</t>
        </is>
      </c>
      <c r="B92" s="104">
        <f>IF(B91&gt;=0.7,"тесная","слабая")</f>
        <v/>
      </c>
    </row>
    <row r="93" ht="28" customHeight="1" s="49" thickBot="1">
      <c r="A93" s="102">
        <f>"Множественный R = "&amp;TEXT(B91,"0.0000")&amp;". По шкале Чеддока связь тесная."</f>
        <v/>
      </c>
      <c r="B93" s="77" t="n"/>
      <c r="C93" s="77" t="n"/>
      <c r="D93" s="77" t="n"/>
      <c r="E93" s="77" t="n"/>
      <c r="F93" s="77" t="n"/>
      <c r="G93" s="77" t="n"/>
      <c r="H93" s="77" t="n"/>
      <c r="I93" s="77" t="n"/>
      <c r="J93" s="77" t="n"/>
      <c r="K93" s="73" t="n"/>
    </row>
    <row r="94" ht="24" customHeight="1" s="49">
      <c r="A94" s="28" t="inlineStr">
        <is>
          <t xml:space="preserve">Коэф.  детерминации </t>
        </is>
      </c>
      <c r="B94" s="103">
        <f>M5</f>
        <v/>
      </c>
    </row>
    <row r="96">
      <c r="A96" s="58" t="inlineStr">
        <is>
          <t>Записать (коротко)</t>
        </is>
      </c>
    </row>
    <row r="97" ht="56" customHeight="1" s="49">
      <c r="A97" s="95">
        <f>"Экономический смысл коэффициента детерминации: R² = "&amp;TEXT(B94,"0.00%")&amp;" означает, что возраст и пол вместе объясняют "&amp;TEXT(B94,"0.00%")&amp;" вариации пробега на 10 л. Остальные "&amp;TEXT(1-B94,"0.00%")&amp;" связаны с факторами вне модели. После исключения незначимого пола R² = "&amp;TEXT($M$69,"0.00%")&amp;"."</f>
        <v/>
      </c>
      <c r="B97" s="77" t="n"/>
      <c r="C97" s="77" t="n"/>
      <c r="D97" s="77" t="n"/>
      <c r="E97" s="77" t="n"/>
      <c r="F97" s="77" t="n"/>
      <c r="G97" s="77" t="n"/>
      <c r="H97" s="77" t="n"/>
      <c r="I97" s="77" t="n"/>
      <c r="J97" s="77" t="n"/>
      <c r="K97" s="73" t="n"/>
    </row>
    <row r="98" ht="13.5" customHeight="1" s="49" thickBot="1"/>
    <row r="99" ht="13.5" customFormat="1" customHeight="1" s="24" thickTop="1">
      <c r="A99" s="23" t="inlineStr">
        <is>
          <t xml:space="preserve">5. Проверить достаточность наблюдений: </t>
        </is>
      </c>
    </row>
    <row r="101" ht="14.25" customHeight="1" s="49">
      <c r="A101" s="31" t="inlineStr">
        <is>
          <t>Значимость F</t>
        </is>
      </c>
      <c r="B101" s="105">
        <f>Q12</f>
        <v/>
      </c>
    </row>
    <row r="102" ht="36.75" customHeight="1" s="49" thickBot="1">
      <c r="A102" s="35" t="inlineStr">
        <is>
          <t>Вывод (достаточно/ недостаточно)</t>
        </is>
      </c>
      <c r="B102" s="106">
        <f>IF(B101&lt;0.05,"достаточно","недостаточно")</f>
        <v/>
      </c>
    </row>
    <row r="103" ht="64" customHeight="1" s="49" thickBot="1">
      <c r="A103" s="102">
        <f>"В тексте условия названы 25 машин, в таблице "&amp;TEXT(M8,"0")&amp;" наблюдения (мужчин: "&amp;TEXT(M82,"0")&amp;", женщин: "&amp;TEXT(N82,"0")&amp;"). Расчёт выполнен по всем строкам. F = "&amp;TEXT(P12,"0.00")&amp;" &gt; Fкр = "&amp;TEXT(R12,"0.00")&amp;", значимость F = "&amp;TEXT(B101,"0.00E+00")&amp;" &lt; 0,05. Наблюдений достаточно. Преобразованная таблица сверена с исходной: несовпадений Y и возраста — "&amp;TEXT(M80,"0")&amp;", ошибок кодировки пола — "&amp;TEXT(M81,"0")&amp;"."</f>
        <v/>
      </c>
      <c r="B103" s="77" t="n"/>
      <c r="C103" s="77" t="n"/>
      <c r="D103" s="77" t="n"/>
      <c r="E103" s="77" t="n"/>
      <c r="F103" s="77" t="n"/>
      <c r="G103" s="77" t="n"/>
      <c r="H103" s="77" t="n"/>
      <c r="I103" s="77" t="n"/>
      <c r="J103" s="77" t="n"/>
      <c r="K103" s="73" t="n"/>
    </row>
    <row r="104" ht="13.5" customFormat="1" customHeight="1" s="24" thickTop="1">
      <c r="A104" s="23" t="inlineStr">
        <is>
          <t>6. Определить наличие статистических  выбросов:</t>
        </is>
      </c>
    </row>
    <row r="106" ht="24" customHeight="1" s="49">
      <c r="A106" s="31" t="inlineStr">
        <is>
          <t>Кол-во стат.выбросов</t>
        </is>
      </c>
      <c r="B106" s="107">
        <f>M64</f>
        <v/>
      </c>
    </row>
    <row r="107" ht="32" customHeight="1" s="49" thickBot="1">
      <c r="A107" s="102">
        <f>"Критерий статистического выброса: |e/S| &gt; 2 по остаткам полной модели. Количество выбросов: "&amp;TEXT(B106,"0")&amp;"."</f>
        <v/>
      </c>
      <c r="B107" s="77" t="n"/>
      <c r="C107" s="77" t="n"/>
      <c r="D107" s="77" t="n"/>
      <c r="E107" s="77" t="n"/>
      <c r="F107" s="77" t="n"/>
      <c r="G107" s="77" t="n"/>
      <c r="H107" s="77" t="n"/>
      <c r="I107" s="77" t="n"/>
      <c r="J107" s="77" t="n"/>
      <c r="K107" s="73" t="n"/>
    </row>
    <row r="108" ht="13.5" customFormat="1" customHeight="1" s="24" thickTop="1">
      <c r="A108" s="23" t="inlineStr">
        <is>
          <t>7. Построить график сравнения Уфакт. И Утеор.</t>
        </is>
      </c>
    </row>
    <row r="109" s="49">
      <c r="A109" s="41" t="n"/>
    </row>
    <row r="110" s="49">
      <c r="A110" s="41" t="n"/>
    </row>
    <row r="111" s="49">
      <c r="A111" s="41" t="n"/>
    </row>
    <row r="112" s="49">
      <c r="A112" s="41" t="n"/>
    </row>
    <row r="113" s="49">
      <c r="A113" s="41" t="n"/>
    </row>
    <row r="114" s="49">
      <c r="A114" s="41" t="n"/>
    </row>
    <row r="115" s="49">
      <c r="A115" s="41" t="n"/>
    </row>
    <row r="116" s="49">
      <c r="A116" s="41" t="n"/>
    </row>
    <row r="117" s="49">
      <c r="A117" s="41" t="n"/>
    </row>
    <row r="118" s="49">
      <c r="A118" s="41" t="n"/>
    </row>
    <row r="119" s="49">
      <c r="A119" s="41" t="n"/>
    </row>
    <row r="120" s="49">
      <c r="A120" s="41" t="n"/>
    </row>
    <row r="121" s="49">
      <c r="A121" s="41" t="n"/>
    </row>
    <row r="122" s="49">
      <c r="A122" s="41" t="n"/>
    </row>
    <row r="123" s="49">
      <c r="A123" s="41" t="n"/>
    </row>
    <row r="126" ht="13.5" customHeight="1" s="49" thickBot="1"/>
    <row r="127" ht="13.5" customFormat="1" customHeight="1" s="24" thickTop="1">
      <c r="A127" s="23" t="inlineStr">
        <is>
          <t xml:space="preserve">Ответьте на следующие вопросы: </t>
        </is>
      </c>
    </row>
    <row r="128" ht="44" customHeight="1" s="49">
      <c r="A128" s="102">
        <f>"1) Исходя из статистической достоверности найденных коэффициентов, в итоговое уравнение входит только возраст: оба пола описываются одной моделью y = a + b·x. Уравнения полной модели с подстановкой d = 1 и d = 0 приведены рядом для сравнения и как прогноз не используются."</f>
        <v/>
      </c>
      <c r="B128" s="77" t="n"/>
      <c r="C128" s="77" t="n"/>
      <c r="D128" s="77" t="n"/>
      <c r="E128" s="77" t="n"/>
      <c r="F128" s="77" t="n"/>
      <c r="G128" s="77" t="n"/>
      <c r="H128" s="77" t="n"/>
      <c r="I128" s="77" t="n"/>
      <c r="J128" s="77" t="n"/>
      <c r="K128" s="73" t="n"/>
    </row>
    <row r="130" ht="48" customHeight="1" s="49">
      <c r="A130" s="64" t="inlineStr">
        <is>
          <t>Если водитель - мужчина</t>
        </is>
      </c>
      <c r="B130" s="121" t="n"/>
      <c r="C130" s="102">
        <f>"Итоговое (пол исключён): y = "&amp;TEXT(ROUND($M$67,2),"0.00")&amp;" − "&amp;TEXT(ABS(ROUND($M$68,2)),"0.00")&amp;"·x. Полная модель при d = 1: y = "&amp;TEXT(ROUND($M$17+$M$19,2),"0.00")&amp;IF($M$18&lt;0," − "," + ")&amp;TEXT(ABS(ROUND($M$18,2)),"0.00")&amp;"·x (сдвиг пола недостоверен). x — возраст, лет."</f>
        <v/>
      </c>
      <c r="D130" s="77" t="n"/>
      <c r="E130" s="77" t="n"/>
      <c r="F130" s="77" t="n"/>
      <c r="G130" s="77" t="n"/>
      <c r="H130" s="77" t="n"/>
      <c r="I130" s="77" t="n"/>
      <c r="J130" s="77" t="n"/>
      <c r="K130" s="73" t="n"/>
    </row>
    <row r="131" ht="48" customHeight="1" s="49">
      <c r="A131" s="64" t="inlineStr">
        <is>
          <t>Если водитель - женщина</t>
        </is>
      </c>
      <c r="B131" s="121" t="n"/>
      <c r="C131" s="102">
        <f>"Итоговое (пол исключён): y = "&amp;TEXT(ROUND($M$67,2),"0.00")&amp;" − "&amp;TEXT(ABS(ROUND($M$68,2)),"0.00")&amp;"·x. Полная модель при d = 0: y = "&amp;TEXT(B63,"0.00")&amp;IF(C63&lt;0," − "," + ")&amp;TEXT(ABS(C63),"0.00")&amp;"·x. Итоговое уравнение для женщины совпадает с уравнением для мужчины, потому что b2 недостоверен."</f>
        <v/>
      </c>
      <c r="D131" s="77" t="n"/>
      <c r="E131" s="77" t="n"/>
      <c r="F131" s="77" t="n"/>
      <c r="G131" s="77" t="n"/>
      <c r="H131" s="77" t="n"/>
      <c r="I131" s="77" t="n"/>
      <c r="J131" s="77" t="n"/>
      <c r="K131" s="73" t="n"/>
    </row>
    <row r="133" ht="56" customHeight="1" s="49">
      <c r="A133" s="102">
        <f>"2) Записать средний пробег на 10 л бензина нового автомобиля, если водитель — мужчина. По итоговой модели (возраст = 0, пол не различается): "&amp;TEXT($M$67,"0.00")&amp;" км. По полной модели a + b2 = "&amp;TEXT($M$17+$M$19,"0.00")&amp;" км, но b2 недостоверен (p = "&amp;TEXT(D85,"0.000")&amp;"), поэтому для прогноза берётся "&amp;TEXT($M$67,"0.00")&amp;" км."</f>
        <v/>
      </c>
      <c r="B133" s="77" t="n"/>
      <c r="C133" s="77" t="n"/>
      <c r="D133" s="77" t="n"/>
      <c r="E133" s="77" t="n"/>
      <c r="F133" s="77" t="n"/>
      <c r="G133" s="77" t="n"/>
      <c r="H133" s="77" t="n"/>
      <c r="I133" s="77" t="n"/>
      <c r="J133" s="77" t="n"/>
      <c r="K133" s="73" t="n"/>
    </row>
    <row r="134" ht="15" customHeight="1" s="49">
      <c r="A134" s="43" t="n"/>
    </row>
    <row r="135" ht="56" customHeight="1" s="49">
      <c r="A135" s="102">
        <f>"3) Записать средний пробег на 10 л бензина нового автомобиля, если водитель — женщина. По итоговой модели: "&amp;TEXT($M$67,"0.00")&amp;" км. По полной модели свободный член a = "&amp;TEXT($M$17,"0.00")&amp;" км. Надёжная оценка нового автомобиля без недостоверного различия по полу — "&amp;TEXT($M$67,"0.00")&amp;" км."</f>
        <v/>
      </c>
      <c r="B135" s="77" t="n"/>
      <c r="C135" s="77" t="n"/>
      <c r="D135" s="77" t="n"/>
      <c r="E135" s="77" t="n"/>
      <c r="F135" s="77" t="n"/>
      <c r="G135" s="77" t="n"/>
      <c r="H135" s="77" t="n"/>
      <c r="I135" s="77" t="n"/>
      <c r="J135" s="77" t="n"/>
      <c r="K135" s="73" t="n"/>
    </row>
    <row r="136" ht="15" customHeight="1" s="49">
      <c r="A136" s="43" t="n"/>
    </row>
    <row r="137" ht="52" customHeight="1" s="49">
      <c r="A137" s="102">
        <f>"4) На сколько в среднем изменится пробег на 10 л бензина при увеличении срока эксплуатации автомашины на 1 год? Снизится на "&amp;TEXT(ABS(C63),"0.00")&amp;" км по полной модели при неизменном поле и на "&amp;TEXT(ABS(ROUND($M$68,2)),"0.00")&amp;" км по итоговой модели только с возрастом."</f>
        <v/>
      </c>
      <c r="B137" s="77" t="n"/>
      <c r="C137" s="77" t="n"/>
      <c r="D137" s="77" t="n"/>
      <c r="E137" s="77" t="n"/>
      <c r="F137" s="77" t="n"/>
      <c r="G137" s="77" t="n"/>
      <c r="H137" s="77" t="n"/>
      <c r="I137" s="77" t="n"/>
      <c r="J137" s="77" t="n"/>
      <c r="K137" s="73" t="n"/>
    </row>
    <row r="138" ht="15" customHeight="1" s="49">
      <c r="A138" s="43" t="n"/>
    </row>
    <row r="139" ht="48" customHeight="1" s="49">
      <c r="A139" s="102">
        <f>"5) Сколько % изменения пробега на 10 л объясняется за счет срока эксплуатации и пола водителя? "&amp;TEXT(B94,"0.00%")&amp;" (полная модель). После исключения незначимого пола возраст объясняет "&amp;TEXT($M$69,"0.00%")&amp;"."</f>
        <v/>
      </c>
      <c r="B139" s="77" t="n"/>
      <c r="C139" s="77" t="n"/>
      <c r="D139" s="77" t="n"/>
      <c r="E139" s="77" t="n"/>
      <c r="F139" s="77" t="n"/>
      <c r="G139" s="77" t="n"/>
      <c r="H139" s="77" t="n"/>
      <c r="I139" s="77" t="n"/>
      <c r="J139" s="77" t="n"/>
      <c r="K139" s="73" t="n"/>
    </row>
    <row r="140" ht="15" customHeight="1" s="49">
      <c r="A140" s="43" t="n"/>
    </row>
    <row r="141" ht="48" customHeight="1" s="49">
      <c r="A141" s="102">
        <f>"6) Сколько % изменения пробега объясняется изменением не рассматриваемых в модели факторов? "&amp;TEXT(1-B94,"0.00%")&amp;" по полной модели. В вопросе написано «цены» — по смыслу задания это пробег на 10 л."</f>
        <v/>
      </c>
      <c r="B141" s="77" t="n"/>
      <c r="C141" s="77" t="n"/>
      <c r="D141" s="77" t="n"/>
      <c r="E141" s="77" t="n"/>
      <c r="F141" s="77" t="n"/>
      <c r="G141" s="77" t="n"/>
      <c r="H141" s="77" t="n"/>
      <c r="I141" s="77" t="n"/>
      <c r="J141" s="77" t="n"/>
      <c r="K141" s="73" t="n"/>
    </row>
    <row r="142" ht="15" customHeight="1" s="49">
      <c r="A142" s="43" t="n"/>
    </row>
    <row r="143" ht="60" customHeight="1" s="49">
      <c r="A143" s="102">
        <f>"7) Можно ли использовать данную модель для прогнозов? Да, как приближённый прогноз пробега по возрасту: значимость F = "&amp;TEXT(B101,"0.00E+00")&amp;" &lt; 0,05, коэффициент возраста достоверен, выбросов нет. Различать прогноз для мужчин и женщин не следует. Точность умеренная: R² около "&amp;TEXT(B94,"0.00%")&amp;", стандартная ошибка около "&amp;TEXT($M$7,"0.00")&amp;" км."</f>
        <v/>
      </c>
      <c r="B143" s="77" t="n"/>
      <c r="C143" s="77" t="n"/>
      <c r="D143" s="77" t="n"/>
      <c r="E143" s="77" t="n"/>
      <c r="F143" s="77" t="n"/>
      <c r="G143" s="77" t="n"/>
      <c r="H143" s="77" t="n"/>
      <c r="I143" s="77" t="n"/>
      <c r="J143" s="77" t="n"/>
      <c r="K143" s="73" t="n"/>
    </row>
    <row r="144" ht="15" customHeight="1" s="49">
      <c r="A144" s="43" t="n"/>
    </row>
    <row r="145" ht="60" customHeight="1" s="49">
      <c r="A145" s="102">
        <f>"8) Если возраст машины увеличится на 1 год, на сколько максимально может снизиться пробег на 10 л бензина? На "&amp;TEXT(ABS(C74),"0.00")&amp;" км — это модуль нижней границы 95% доверительного интервала b1 полной модели ("&amp;TEXT(C74,"0.00")&amp;"). По итоговой модели нижняя граница равна "&amp;TEXT($M$77,"0.00")&amp;", то есть максимальное снижение "&amp;TEXT(ABS($M$77),"0.00")&amp;" км."</f>
        <v/>
      </c>
      <c r="B145" s="77" t="n"/>
      <c r="C145" s="77" t="n"/>
      <c r="D145" s="77" t="n"/>
      <c r="E145" s="77" t="n"/>
      <c r="F145" s="77" t="n"/>
      <c r="G145" s="77" t="n"/>
      <c r="H145" s="77" t="n"/>
      <c r="I145" s="77" t="n"/>
      <c r="J145" s="77" t="n"/>
      <c r="K145" s="73" t="n"/>
    </row>
    <row r="146" ht="15" customHeight="1" s="49">
      <c r="A146" s="43" t="n"/>
    </row>
    <row r="147" ht="64" customHeight="1" s="49">
      <c r="A147" s="102">
        <f>"9) Проанализировать пробег на 10 л у автомашины под номером 7, является ли он выше/ниже ожидаемого? Факт "&amp;TEXT(F28,"0.00")&amp;" км, по полной модели "&amp;TEXT(I28,"0.00")&amp;" км. Пробег ниже ожидаемого на "&amp;TEXT(I28-F28,"0.00")&amp;" км. Стандартный остаток = "&amp;TEXT(K28,"0.00")&amp;". По модулю он меньше 2, поэтому отклонение не является статистическим выбросом. Это женщина, возраст машины 11 лет."</f>
        <v/>
      </c>
      <c r="B147" s="77" t="n"/>
      <c r="C147" s="77" t="n"/>
      <c r="D147" s="77" t="n"/>
      <c r="E147" s="77" t="n"/>
      <c r="F147" s="77" t="n"/>
      <c r="G147" s="77" t="n"/>
      <c r="H147" s="77" t="n"/>
      <c r="I147" s="77" t="n"/>
      <c r="J147" s="77" t="n"/>
      <c r="K147" s="73" t="n"/>
    </row>
  </sheetData>
  <mergeCells count="35">
    <mergeCell ref="L63:R63"/>
    <mergeCell ref="A130:B130"/>
    <mergeCell ref="A143:K143"/>
    <mergeCell ref="A107:K107"/>
    <mergeCell ref="B64:K64"/>
    <mergeCell ref="A103:K103"/>
    <mergeCell ref="A79:K79"/>
    <mergeCell ref="L3:M3"/>
    <mergeCell ref="C130:K130"/>
    <mergeCell ref="A69:K69"/>
    <mergeCell ref="A88:K88"/>
    <mergeCell ref="A78:K78"/>
    <mergeCell ref="L2:R2"/>
    <mergeCell ref="A128:K128"/>
    <mergeCell ref="A66:B66"/>
    <mergeCell ref="A137:K137"/>
    <mergeCell ref="A133:K133"/>
    <mergeCell ref="L23:P23"/>
    <mergeCell ref="A80:K80"/>
    <mergeCell ref="L66:R66"/>
    <mergeCell ref="A145:K145"/>
    <mergeCell ref="A139:K139"/>
    <mergeCell ref="C131:K131"/>
    <mergeCell ref="A131:B131"/>
    <mergeCell ref="A141:K141"/>
    <mergeCell ref="A135:K135"/>
    <mergeCell ref="A96:B96"/>
    <mergeCell ref="A97:K97"/>
    <mergeCell ref="A147:K147"/>
    <mergeCell ref="A93:K93"/>
    <mergeCell ref="A68:K68"/>
    <mergeCell ref="L10:R10"/>
    <mergeCell ref="A77:B77"/>
    <mergeCell ref="A67:K67"/>
    <mergeCell ref="L1:R1"/>
  </mergeCells>
  <conditionalFormatting sqref="P25:P61">
    <cfRule type="cellIs" priority="1" operator="equal" dxfId="0">
      <formula>"да"</formula>
    </cfRule>
  </conditionalFormatting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NB</dc:creator>
  <dcterms:created xsi:type="dcterms:W3CDTF">2013-09-30T10:14:18Z</dcterms:created>
  <dcterms:modified xsi:type="dcterms:W3CDTF">2026-10-29T22:45:45Z</dcterms:modified>
  <cp:lastModifiedBy>student</cp:lastModifiedBy>
</cp:coreProperties>
</file>